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clarksons-my.sharepoint.com/personal/jake_brynteson_clarksons_com1/Documents/Documents/misc/"/>
    </mc:Choice>
  </mc:AlternateContent>
  <xr:revisionPtr revIDLastSave="1629" documentId="8_{8092C2D5-F3D2-4FA4-B42B-B361AB24FAA1}" xr6:coauthVersionLast="47" xr6:coauthVersionMax="47" xr10:uidLastSave="{0AB4B258-92C9-411F-B50C-4A6BB8056D4D}"/>
  <bookViews>
    <workbookView xWindow="-28335" yWindow="1560" windowWidth="27465" windowHeight="13110" tabRatio="724" activeTab="4" xr2:uid="{5C724DCF-F4AC-42B9-9856-B039AA4F3BD8}"/>
  </bookViews>
  <sheets>
    <sheet name="2022" sheetId="1" r:id="rId1"/>
    <sheet name="2023" sheetId="3" r:id="rId2"/>
    <sheet name="2024" sheetId="4" r:id="rId3"/>
    <sheet name="2025" sheetId="5" r:id="rId4"/>
    <sheet name="2026" sheetId="6" r:id="rId5"/>
    <sheet name="D I S C L A I M E R"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0" i="6" l="1"/>
  <c r="F9" i="6"/>
  <c r="AW8" i="6"/>
  <c r="BA24" i="6"/>
  <c r="BA21" i="6"/>
  <c r="BB21" i="6"/>
  <c r="BC21" i="6"/>
  <c r="BA22" i="6"/>
  <c r="BB22" i="6"/>
  <c r="BC22" i="6"/>
  <c r="BA23" i="6"/>
  <c r="BB23" i="6"/>
  <c r="BC23" i="6"/>
  <c r="BA25" i="6"/>
  <c r="BA26" i="6"/>
  <c r="BA27" i="6"/>
  <c r="BA28" i="6"/>
  <c r="BA29" i="6"/>
  <c r="BB29" i="6"/>
  <c r="BA30" i="6"/>
  <c r="BC30" i="6"/>
  <c r="BA31" i="6"/>
  <c r="BB31" i="6"/>
  <c r="BC31" i="6"/>
  <c r="BB20" i="6"/>
  <c r="BC20" i="6"/>
  <c r="BD20" i="6" s="1"/>
  <c r="BA20" i="6"/>
  <c r="BD31" i="6"/>
  <c r="BD21" i="6"/>
  <c r="BA4" i="6"/>
  <c r="BB4" i="6"/>
  <c r="BC4" i="6"/>
  <c r="BA5" i="6"/>
  <c r="BB5" i="6"/>
  <c r="BC5" i="6"/>
  <c r="BA6" i="6"/>
  <c r="BB6" i="6"/>
  <c r="BC6" i="6"/>
  <c r="BA7" i="6"/>
  <c r="BA8" i="6"/>
  <c r="BA9" i="6"/>
  <c r="BA10" i="6"/>
  <c r="BA11" i="6"/>
  <c r="BA12" i="6"/>
  <c r="BA13" i="6"/>
  <c r="BA14" i="6"/>
  <c r="BB3" i="6"/>
  <c r="BC3" i="6"/>
  <c r="BA3" i="6"/>
  <c r="AV6" i="6"/>
  <c r="AN31" i="6"/>
  <c r="AN30" i="6"/>
  <c r="AN29" i="6"/>
  <c r="AN28" i="6"/>
  <c r="AN27" i="6"/>
  <c r="AN26" i="6"/>
  <c r="AN25" i="6"/>
  <c r="AN24" i="6"/>
  <c r="AN23" i="6"/>
  <c r="AN22" i="6"/>
  <c r="AN21" i="6"/>
  <c r="AN20" i="6"/>
  <c r="AV4" i="6"/>
  <c r="AW4" i="6"/>
  <c r="AX4" i="6"/>
  <c r="AV5" i="6"/>
  <c r="AW5" i="6"/>
  <c r="AX5" i="6"/>
  <c r="AW6" i="6"/>
  <c r="AX6" i="6"/>
  <c r="AV7" i="6"/>
  <c r="AW7" i="6"/>
  <c r="BB24" i="6" s="1"/>
  <c r="AX7" i="6"/>
  <c r="BC24" i="6" s="1"/>
  <c r="AV8" i="6"/>
  <c r="BB25" i="6"/>
  <c r="AX8" i="6"/>
  <c r="BC25" i="6" s="1"/>
  <c r="AV9" i="6"/>
  <c r="AW9" i="6"/>
  <c r="BB26" i="6" s="1"/>
  <c r="AX9" i="6"/>
  <c r="BC26" i="6" s="1"/>
  <c r="AV10" i="6"/>
  <c r="AW10" i="6"/>
  <c r="BB27" i="6" s="1"/>
  <c r="AX10" i="6"/>
  <c r="BC27" i="6" s="1"/>
  <c r="AV11" i="6"/>
  <c r="AW11" i="6"/>
  <c r="BB28" i="6" s="1"/>
  <c r="AX11" i="6"/>
  <c r="BC28" i="6" s="1"/>
  <c r="AV12" i="6"/>
  <c r="AW12" i="6"/>
  <c r="AX12" i="6"/>
  <c r="BC29" i="6" s="1"/>
  <c r="AV13" i="6"/>
  <c r="AW13" i="6"/>
  <c r="BB30" i="6" s="1"/>
  <c r="AX13" i="6"/>
  <c r="AV14" i="6"/>
  <c r="AW14" i="6"/>
  <c r="I14" i="6" s="1"/>
  <c r="AX14" i="6"/>
  <c r="J14" i="6" s="1"/>
  <c r="AX3" i="6"/>
  <c r="J15" i="6" s="1"/>
  <c r="AW3" i="6"/>
  <c r="AV3" i="6"/>
  <c r="Z3" i="6"/>
  <c r="Z4" i="6"/>
  <c r="Z5" i="6"/>
  <c r="Z6" i="6"/>
  <c r="Z7" i="6"/>
  <c r="Z8" i="6"/>
  <c r="Z9" i="6"/>
  <c r="Z10" i="6"/>
  <c r="Z11" i="6"/>
  <c r="Z12" i="6"/>
  <c r="Z13" i="6"/>
  <c r="Z14" i="6"/>
  <c r="AT31" i="6"/>
  <c r="AT30" i="6"/>
  <c r="AT29" i="6"/>
  <c r="AT28" i="6"/>
  <c r="AT27" i="6"/>
  <c r="AT26" i="6"/>
  <c r="AT25" i="6"/>
  <c r="AT24" i="6"/>
  <c r="AT23" i="6"/>
  <c r="AT22" i="6"/>
  <c r="AT21" i="6"/>
  <c r="AT20" i="6"/>
  <c r="AS15" i="6"/>
  <c r="AR15" i="6"/>
  <c r="AQ15" i="6"/>
  <c r="AN15" i="6"/>
  <c r="AM15" i="6"/>
  <c r="AL15" i="6"/>
  <c r="AI15" i="6"/>
  <c r="AH15" i="6"/>
  <c r="AG15" i="6"/>
  <c r="AD15" i="6"/>
  <c r="AC15" i="6"/>
  <c r="AB15" i="6"/>
  <c r="Y15" i="6"/>
  <c r="X15" i="6"/>
  <c r="W15" i="6"/>
  <c r="T15" i="6"/>
  <c r="R15" i="6"/>
  <c r="O15" i="6"/>
  <c r="N15" i="6"/>
  <c r="M15" i="6"/>
  <c r="E15" i="6"/>
  <c r="D15" i="6"/>
  <c r="C15" i="6"/>
  <c r="AT14" i="6"/>
  <c r="AO14" i="6"/>
  <c r="AJ14" i="6"/>
  <c r="AE14" i="6"/>
  <c r="U14" i="6"/>
  <c r="P14" i="6"/>
  <c r="F14" i="6"/>
  <c r="AT13" i="6"/>
  <c r="AO13" i="6"/>
  <c r="AJ13" i="6"/>
  <c r="AE13" i="6"/>
  <c r="U13" i="6"/>
  <c r="P13" i="6"/>
  <c r="F13" i="6"/>
  <c r="AT12" i="6"/>
  <c r="AO12" i="6"/>
  <c r="AJ12" i="6"/>
  <c r="AE12" i="6"/>
  <c r="U12" i="6"/>
  <c r="P12" i="6"/>
  <c r="F12" i="6"/>
  <c r="AT11" i="6"/>
  <c r="AO11" i="6"/>
  <c r="AJ11" i="6"/>
  <c r="AE11" i="6"/>
  <c r="U11" i="6"/>
  <c r="P11" i="6"/>
  <c r="F11" i="6"/>
  <c r="AT10" i="6"/>
  <c r="AO10" i="6"/>
  <c r="AJ10" i="6"/>
  <c r="AE10" i="6"/>
  <c r="U10" i="6"/>
  <c r="P10" i="6"/>
  <c r="F10" i="6"/>
  <c r="AT9" i="6"/>
  <c r="AO9" i="6"/>
  <c r="AJ9" i="6"/>
  <c r="AE9" i="6"/>
  <c r="U9" i="6"/>
  <c r="P9" i="6"/>
  <c r="AT8" i="6"/>
  <c r="AO8" i="6"/>
  <c r="AJ8" i="6"/>
  <c r="AE8" i="6"/>
  <c r="U8" i="6"/>
  <c r="P8" i="6"/>
  <c r="F8" i="6"/>
  <c r="AT7" i="6"/>
  <c r="AO7" i="6"/>
  <c r="AJ7" i="6"/>
  <c r="AE7" i="6"/>
  <c r="U7" i="6"/>
  <c r="P7" i="6"/>
  <c r="F7" i="6"/>
  <c r="AT6" i="6"/>
  <c r="AO6" i="6"/>
  <c r="AJ6" i="6"/>
  <c r="AE6" i="6"/>
  <c r="U6" i="6"/>
  <c r="P6" i="6"/>
  <c r="F6" i="6"/>
  <c r="AT5" i="6"/>
  <c r="AO5" i="6"/>
  <c r="AJ5" i="6"/>
  <c r="AE5" i="6"/>
  <c r="U5" i="6"/>
  <c r="P5" i="6"/>
  <c r="F5" i="6"/>
  <c r="AT4" i="6"/>
  <c r="AO4" i="6"/>
  <c r="AJ4" i="6"/>
  <c r="AE4" i="6"/>
  <c r="U4" i="6"/>
  <c r="P4" i="6"/>
  <c r="F4" i="6"/>
  <c r="AT3" i="6"/>
  <c r="AO3" i="6"/>
  <c r="AJ3" i="6"/>
  <c r="AE3" i="6"/>
  <c r="U3" i="6"/>
  <c r="P3" i="6"/>
  <c r="F3" i="6"/>
  <c r="AV14" i="5"/>
  <c r="AW14" i="5"/>
  <c r="AX14" i="5"/>
  <c r="AV15" i="5"/>
  <c r="AW15" i="5"/>
  <c r="AX15" i="5"/>
  <c r="AQ14" i="5"/>
  <c r="AR14" i="5"/>
  <c r="AS14" i="5"/>
  <c r="AT31" i="5"/>
  <c r="AT29" i="5"/>
  <c r="AQ13" i="5"/>
  <c r="AR13" i="5"/>
  <c r="AS13" i="5"/>
  <c r="AV13" i="5"/>
  <c r="AW13" i="5"/>
  <c r="AX13" i="5"/>
  <c r="AT30" i="5"/>
  <c r="AV10" i="5"/>
  <c r="AW10" i="5"/>
  <c r="AX10" i="5"/>
  <c r="AV11" i="5"/>
  <c r="AW11" i="5"/>
  <c r="AX11" i="5"/>
  <c r="AV12" i="5"/>
  <c r="AW12" i="5"/>
  <c r="AX12" i="5"/>
  <c r="AQ12" i="5"/>
  <c r="AR12" i="5"/>
  <c r="AS12" i="5"/>
  <c r="AQ15" i="5"/>
  <c r="AR15" i="5"/>
  <c r="AS15" i="5"/>
  <c r="AT15" i="5"/>
  <c r="AQ11" i="5"/>
  <c r="AR11" i="5"/>
  <c r="AS11" i="5"/>
  <c r="AT28" i="5"/>
  <c r="AQ10" i="5"/>
  <c r="AR10" i="5"/>
  <c r="AS10" i="5"/>
  <c r="AT27" i="5"/>
  <c r="U9" i="5"/>
  <c r="AQ9" i="5"/>
  <c r="AR9" i="5"/>
  <c r="AS9" i="5"/>
  <c r="AV9" i="5"/>
  <c r="AW9" i="5"/>
  <c r="AX9" i="5"/>
  <c r="AT26" i="5"/>
  <c r="AT25" i="5"/>
  <c r="AV8" i="5"/>
  <c r="AW8" i="5"/>
  <c r="AX8" i="5"/>
  <c r="AQ8" i="5"/>
  <c r="AR8" i="5"/>
  <c r="AS8" i="5"/>
  <c r="AT20" i="5"/>
  <c r="AT21" i="5"/>
  <c r="AT22" i="5"/>
  <c r="AQ7" i="5"/>
  <c r="AR7" i="5"/>
  <c r="AS7" i="5"/>
  <c r="AW7" i="5"/>
  <c r="AX7" i="5"/>
  <c r="AV7" i="5"/>
  <c r="AT24" i="5"/>
  <c r="AW6" i="5"/>
  <c r="AX6" i="5"/>
  <c r="AV6" i="5"/>
  <c r="AQ6" i="5"/>
  <c r="AR6" i="5"/>
  <c r="AS6" i="5"/>
  <c r="AT23" i="5"/>
  <c r="AW5" i="5"/>
  <c r="AX5" i="5"/>
  <c r="AV5" i="5"/>
  <c r="AR5" i="5"/>
  <c r="AS5" i="5"/>
  <c r="AQ5" i="5"/>
  <c r="AW4" i="5"/>
  <c r="AX4" i="5"/>
  <c r="AV4" i="5"/>
  <c r="AS4" i="5"/>
  <c r="AR4" i="5"/>
  <c r="AQ4" i="5"/>
  <c r="U14" i="4"/>
  <c r="AV3" i="5"/>
  <c r="AR3" i="5"/>
  <c r="AS3" i="5"/>
  <c r="AQ3" i="5"/>
  <c r="AN15" i="5"/>
  <c r="AM15" i="5"/>
  <c r="AL15" i="5"/>
  <c r="AI15" i="5"/>
  <c r="AH15" i="5"/>
  <c r="AG15" i="5"/>
  <c r="AD15" i="5"/>
  <c r="AC15" i="5"/>
  <c r="AB15" i="5"/>
  <c r="Y15" i="5"/>
  <c r="X15" i="5"/>
  <c r="W15" i="5"/>
  <c r="T15" i="5"/>
  <c r="S15" i="5"/>
  <c r="R15" i="5"/>
  <c r="O15" i="5"/>
  <c r="M15" i="5"/>
  <c r="J15" i="5"/>
  <c r="I15" i="5"/>
  <c r="H15" i="5"/>
  <c r="E15" i="5"/>
  <c r="D15" i="5"/>
  <c r="C15" i="5"/>
  <c r="AO14" i="5"/>
  <c r="AJ14" i="5"/>
  <c r="AE14" i="5"/>
  <c r="Z14" i="5"/>
  <c r="U14" i="5"/>
  <c r="P14" i="5"/>
  <c r="K14" i="5"/>
  <c r="F14" i="5"/>
  <c r="AO13" i="5"/>
  <c r="AJ13" i="5"/>
  <c r="AE13" i="5"/>
  <c r="Z13" i="5"/>
  <c r="U13" i="5"/>
  <c r="P13" i="5"/>
  <c r="K13" i="5"/>
  <c r="F13" i="5"/>
  <c r="AO12" i="5"/>
  <c r="AJ12" i="5"/>
  <c r="AE12" i="5"/>
  <c r="Z12" i="5"/>
  <c r="U12" i="5"/>
  <c r="P12" i="5"/>
  <c r="K12" i="5"/>
  <c r="F12" i="5"/>
  <c r="AO11" i="5"/>
  <c r="AJ11" i="5"/>
  <c r="AE11" i="5"/>
  <c r="Z11" i="5"/>
  <c r="U11" i="5"/>
  <c r="P11" i="5"/>
  <c r="K11" i="5"/>
  <c r="F11" i="5"/>
  <c r="AO10" i="5"/>
  <c r="AJ10" i="5"/>
  <c r="AE10" i="5"/>
  <c r="Z10" i="5"/>
  <c r="U10" i="5"/>
  <c r="P10" i="5"/>
  <c r="K10" i="5"/>
  <c r="F10" i="5"/>
  <c r="AO9" i="5"/>
  <c r="AJ9" i="5"/>
  <c r="AE9" i="5"/>
  <c r="Z9" i="5"/>
  <c r="P9" i="5"/>
  <c r="K9" i="5"/>
  <c r="F9" i="5"/>
  <c r="AO8" i="5"/>
  <c r="AJ8" i="5"/>
  <c r="AE8" i="5"/>
  <c r="Z8" i="5"/>
  <c r="U8" i="5"/>
  <c r="P8" i="5"/>
  <c r="K8" i="5"/>
  <c r="F8" i="5"/>
  <c r="AO7" i="5"/>
  <c r="AJ7" i="5"/>
  <c r="AE7" i="5"/>
  <c r="Z7" i="5"/>
  <c r="U7" i="5"/>
  <c r="P7" i="5"/>
  <c r="K7" i="5"/>
  <c r="F7" i="5"/>
  <c r="AO6" i="5"/>
  <c r="AJ6" i="5"/>
  <c r="AE6" i="5"/>
  <c r="Z6" i="5"/>
  <c r="U6" i="5"/>
  <c r="P6" i="5"/>
  <c r="K6" i="5"/>
  <c r="F6" i="5"/>
  <c r="AO5" i="5"/>
  <c r="AJ5" i="5"/>
  <c r="AE5" i="5"/>
  <c r="Z5" i="5"/>
  <c r="U5" i="5"/>
  <c r="P5" i="5"/>
  <c r="K5" i="5"/>
  <c r="F5" i="5"/>
  <c r="AO4" i="5"/>
  <c r="AJ4" i="5"/>
  <c r="AE4" i="5"/>
  <c r="Z4" i="5"/>
  <c r="U4" i="5"/>
  <c r="P4" i="5"/>
  <c r="K4" i="5"/>
  <c r="F4" i="5"/>
  <c r="AX3" i="5"/>
  <c r="AW3" i="5"/>
  <c r="AO3" i="5"/>
  <c r="AJ3" i="5"/>
  <c r="AE3" i="5"/>
  <c r="Z3" i="5"/>
  <c r="U3" i="5"/>
  <c r="P3" i="5"/>
  <c r="K3" i="5"/>
  <c r="F3" i="5"/>
  <c r="AV14" i="4"/>
  <c r="AW14" i="4"/>
  <c r="AX14" i="4"/>
  <c r="AQ14" i="4"/>
  <c r="AR14" i="4"/>
  <c r="AS14" i="4"/>
  <c r="AT22" i="4"/>
  <c r="AT23" i="4"/>
  <c r="AX10" i="4"/>
  <c r="AW10" i="4"/>
  <c r="AV10" i="4"/>
  <c r="AS10" i="4"/>
  <c r="AR10" i="4"/>
  <c r="AQ10" i="4"/>
  <c r="AX9" i="4"/>
  <c r="AW9" i="4"/>
  <c r="AV9" i="4"/>
  <c r="AS9" i="4"/>
  <c r="AR9" i="4"/>
  <c r="AQ9" i="4"/>
  <c r="AX8" i="4"/>
  <c r="AW8" i="4"/>
  <c r="AV8" i="4"/>
  <c r="AS8" i="4"/>
  <c r="AR8" i="4"/>
  <c r="AQ8" i="4"/>
  <c r="AV13" i="4"/>
  <c r="AW13" i="4"/>
  <c r="AX13" i="4"/>
  <c r="AQ13" i="4"/>
  <c r="AR13" i="4"/>
  <c r="AS13" i="4"/>
  <c r="AV12" i="4"/>
  <c r="AW12" i="4"/>
  <c r="AX12" i="4"/>
  <c r="AQ12" i="4"/>
  <c r="AR12" i="4"/>
  <c r="AS12" i="4"/>
  <c r="AT21" i="4"/>
  <c r="AQ11" i="4"/>
  <c r="AT20" i="4"/>
  <c r="AX11" i="4"/>
  <c r="AW11" i="4"/>
  <c r="AV11" i="4"/>
  <c r="AR11" i="4"/>
  <c r="AS11" i="4"/>
  <c r="AN15" i="4"/>
  <c r="AM15" i="4"/>
  <c r="AL15" i="4"/>
  <c r="AD15" i="4"/>
  <c r="D15" i="4"/>
  <c r="E15" i="4"/>
  <c r="R15" i="4"/>
  <c r="S15" i="4"/>
  <c r="T15" i="4"/>
  <c r="H15" i="4"/>
  <c r="I15" i="4"/>
  <c r="J15" i="4"/>
  <c r="M15" i="4"/>
  <c r="O15" i="4"/>
  <c r="W15" i="4"/>
  <c r="X15" i="4"/>
  <c r="Y15" i="4"/>
  <c r="AB15" i="4"/>
  <c r="AC15" i="4"/>
  <c r="AG15" i="4"/>
  <c r="AH15" i="4"/>
  <c r="AI15" i="4"/>
  <c r="C15" i="4"/>
  <c r="AV4" i="4"/>
  <c r="AW4" i="4"/>
  <c r="AX4" i="4"/>
  <c r="AV5" i="4"/>
  <c r="AW5" i="4"/>
  <c r="AX5" i="4"/>
  <c r="AV6" i="4"/>
  <c r="AW6" i="4"/>
  <c r="AX6" i="4"/>
  <c r="AV7" i="4"/>
  <c r="AW7" i="4"/>
  <c r="AX7" i="4"/>
  <c r="AW3" i="4"/>
  <c r="AX3" i="4"/>
  <c r="AV3" i="4"/>
  <c r="AN15" i="1"/>
  <c r="AM15" i="1"/>
  <c r="AL15" i="1"/>
  <c r="AI15" i="1"/>
  <c r="AH15" i="1"/>
  <c r="AG15" i="1"/>
  <c r="AD15" i="1"/>
  <c r="AC15" i="1"/>
  <c r="AB15" i="1"/>
  <c r="Y15" i="1"/>
  <c r="X15" i="1"/>
  <c r="W15" i="1"/>
  <c r="T15" i="1"/>
  <c r="S15" i="1"/>
  <c r="R15" i="1"/>
  <c r="O15" i="1"/>
  <c r="N15" i="1"/>
  <c r="M15" i="1"/>
  <c r="AS14" i="1"/>
  <c r="AR14" i="1"/>
  <c r="AQ14" i="1"/>
  <c r="AO14" i="1"/>
  <c r="AJ14" i="1"/>
  <c r="AE14" i="1"/>
  <c r="Z14" i="1"/>
  <c r="U14" i="1"/>
  <c r="P14" i="1"/>
  <c r="AS13" i="1"/>
  <c r="AR13" i="1"/>
  <c r="AQ13" i="1"/>
  <c r="AO13" i="1"/>
  <c r="AJ13" i="1"/>
  <c r="AE13" i="1"/>
  <c r="Z13" i="1"/>
  <c r="U13" i="1"/>
  <c r="P13" i="1"/>
  <c r="AS12" i="1"/>
  <c r="AR12" i="1"/>
  <c r="AQ12" i="1"/>
  <c r="AO12" i="1"/>
  <c r="AJ12" i="1"/>
  <c r="AE12" i="1"/>
  <c r="Z12" i="1"/>
  <c r="U12" i="1"/>
  <c r="P12" i="1"/>
  <c r="AS11" i="1"/>
  <c r="AR11" i="1"/>
  <c r="AQ11" i="1"/>
  <c r="AO11" i="1"/>
  <c r="AJ11" i="1"/>
  <c r="AE11" i="1"/>
  <c r="Z11" i="1"/>
  <c r="U11" i="1"/>
  <c r="P11" i="1"/>
  <c r="AS10" i="1"/>
  <c r="AR10" i="1"/>
  <c r="AQ10" i="1"/>
  <c r="AO10" i="1"/>
  <c r="AJ10" i="1"/>
  <c r="AE10" i="1"/>
  <c r="Z10" i="1"/>
  <c r="U10" i="1"/>
  <c r="P10" i="1"/>
  <c r="AS9" i="1"/>
  <c r="AR9" i="1"/>
  <c r="AQ9" i="1"/>
  <c r="AO9" i="1"/>
  <c r="AJ9" i="1"/>
  <c r="AE9" i="1"/>
  <c r="Z9" i="1"/>
  <c r="U9" i="1"/>
  <c r="P9" i="1"/>
  <c r="AS8" i="1"/>
  <c r="AR8" i="1"/>
  <c r="AQ8" i="1"/>
  <c r="AO8" i="1"/>
  <c r="AJ8" i="1"/>
  <c r="AE8" i="1"/>
  <c r="Z8" i="1"/>
  <c r="U8" i="1"/>
  <c r="P8" i="1"/>
  <c r="AS7" i="1"/>
  <c r="AR7" i="1"/>
  <c r="AQ7" i="1"/>
  <c r="AO7" i="1"/>
  <c r="AJ7" i="1"/>
  <c r="AE7" i="1"/>
  <c r="Z7" i="1"/>
  <c r="U7" i="1"/>
  <c r="P7" i="1"/>
  <c r="AS6" i="1"/>
  <c r="AR6" i="1"/>
  <c r="AQ6" i="1"/>
  <c r="AO6" i="1"/>
  <c r="AJ6" i="1"/>
  <c r="AE6" i="1"/>
  <c r="Z6" i="1"/>
  <c r="U6" i="1"/>
  <c r="P6" i="1"/>
  <c r="AS5" i="1"/>
  <c r="AR5" i="1"/>
  <c r="AQ5" i="1"/>
  <c r="AO5" i="1"/>
  <c r="AJ5" i="1"/>
  <c r="AE5" i="1"/>
  <c r="Z5" i="1"/>
  <c r="U5" i="1"/>
  <c r="P5" i="1"/>
  <c r="AS4" i="1"/>
  <c r="AR4" i="1"/>
  <c r="AQ4" i="1"/>
  <c r="AO4" i="1"/>
  <c r="AJ4" i="1"/>
  <c r="AE4" i="1"/>
  <c r="Z4" i="1"/>
  <c r="U4" i="1"/>
  <c r="U15" i="1" s="1"/>
  <c r="P4" i="1"/>
  <c r="AS3" i="1"/>
  <c r="AR3" i="1"/>
  <c r="AQ3" i="1"/>
  <c r="AO3" i="1"/>
  <c r="AJ3" i="1"/>
  <c r="AE3" i="1"/>
  <c r="Z3" i="1"/>
  <c r="U3" i="1"/>
  <c r="P3" i="1"/>
  <c r="AN15" i="3"/>
  <c r="AM15" i="3"/>
  <c r="AL15" i="3"/>
  <c r="AI15" i="3"/>
  <c r="AH15" i="3"/>
  <c r="AG15" i="3"/>
  <c r="AD15" i="3"/>
  <c r="AC15" i="3"/>
  <c r="AB15" i="3"/>
  <c r="Y15" i="3"/>
  <c r="X15" i="3"/>
  <c r="W15" i="3"/>
  <c r="T15" i="3"/>
  <c r="S15" i="3"/>
  <c r="R15" i="3"/>
  <c r="O15" i="3"/>
  <c r="N15" i="3"/>
  <c r="M15" i="3"/>
  <c r="AS14" i="3"/>
  <c r="AR14" i="3"/>
  <c r="AQ14" i="3"/>
  <c r="AO14" i="3"/>
  <c r="AJ14" i="3"/>
  <c r="AE14" i="3"/>
  <c r="Z14" i="3"/>
  <c r="U14" i="3"/>
  <c r="P14" i="3"/>
  <c r="AS13" i="3"/>
  <c r="AR13" i="3"/>
  <c r="AQ13" i="3"/>
  <c r="AO13" i="3"/>
  <c r="AJ13" i="3"/>
  <c r="AE13" i="3"/>
  <c r="Z13" i="3"/>
  <c r="U13" i="3"/>
  <c r="P13" i="3"/>
  <c r="AS12" i="3"/>
  <c r="AR12" i="3"/>
  <c r="AQ12" i="3"/>
  <c r="AO12" i="3"/>
  <c r="AJ12" i="3"/>
  <c r="AE12" i="3"/>
  <c r="Z12" i="3"/>
  <c r="U12" i="3"/>
  <c r="P12" i="3"/>
  <c r="AS11" i="3"/>
  <c r="AR11" i="3"/>
  <c r="AQ11" i="3"/>
  <c r="AO11" i="3"/>
  <c r="AJ11" i="3"/>
  <c r="AE11" i="3"/>
  <c r="Z11" i="3"/>
  <c r="U11" i="3"/>
  <c r="P11" i="3"/>
  <c r="AS10" i="3"/>
  <c r="AR10" i="3"/>
  <c r="AQ10" i="3"/>
  <c r="AO10" i="3"/>
  <c r="AJ10" i="3"/>
  <c r="AE10" i="3"/>
  <c r="Z10" i="3"/>
  <c r="U10" i="3"/>
  <c r="P10" i="3"/>
  <c r="AS9" i="3"/>
  <c r="AR9" i="3"/>
  <c r="AQ9" i="3"/>
  <c r="AO9" i="3"/>
  <c r="AJ9" i="3"/>
  <c r="AE9" i="3"/>
  <c r="Z9" i="3"/>
  <c r="U9" i="3"/>
  <c r="P9" i="3"/>
  <c r="AS8" i="3"/>
  <c r="AR8" i="3"/>
  <c r="AQ8" i="3"/>
  <c r="AO8" i="3"/>
  <c r="AJ8" i="3"/>
  <c r="AE8" i="3"/>
  <c r="Z8" i="3"/>
  <c r="U8" i="3"/>
  <c r="P8" i="3"/>
  <c r="AS7" i="3"/>
  <c r="AR7" i="3"/>
  <c r="AQ7" i="3"/>
  <c r="AO7" i="3"/>
  <c r="AJ7" i="3"/>
  <c r="AE7" i="3"/>
  <c r="Z7" i="3"/>
  <c r="U7" i="3"/>
  <c r="P7" i="3"/>
  <c r="AS6" i="3"/>
  <c r="AR6" i="3"/>
  <c r="AQ6" i="3"/>
  <c r="AO6" i="3"/>
  <c r="AJ6" i="3"/>
  <c r="AE6" i="3"/>
  <c r="Z6" i="3"/>
  <c r="U6" i="3"/>
  <c r="P6" i="3"/>
  <c r="AS5" i="3"/>
  <c r="AT5" i="3" s="1"/>
  <c r="AR5" i="3"/>
  <c r="AQ5" i="3"/>
  <c r="AO5" i="3"/>
  <c r="AJ5" i="3"/>
  <c r="AE5" i="3"/>
  <c r="Z5" i="3"/>
  <c r="U5" i="3"/>
  <c r="P5" i="3"/>
  <c r="AS4" i="3"/>
  <c r="AR4" i="3"/>
  <c r="AQ4" i="3"/>
  <c r="AO4" i="3"/>
  <c r="AJ4" i="3"/>
  <c r="AE4" i="3"/>
  <c r="Z4" i="3"/>
  <c r="U4" i="3"/>
  <c r="P4" i="3"/>
  <c r="AS3" i="3"/>
  <c r="AR3" i="3"/>
  <c r="AQ3" i="3"/>
  <c r="AO3" i="3"/>
  <c r="AJ3" i="3"/>
  <c r="AE3" i="3"/>
  <c r="Z3" i="3"/>
  <c r="U3" i="3"/>
  <c r="P3" i="3"/>
  <c r="AQ4" i="4"/>
  <c r="AR4" i="4"/>
  <c r="AS4" i="4"/>
  <c r="AQ5" i="4"/>
  <c r="AR5" i="4"/>
  <c r="AS5" i="4"/>
  <c r="AQ6" i="4"/>
  <c r="AR6" i="4"/>
  <c r="AS6" i="4"/>
  <c r="AQ7" i="4"/>
  <c r="AR7" i="4"/>
  <c r="AS7" i="4"/>
  <c r="AR3" i="4"/>
  <c r="AS3" i="4"/>
  <c r="AQ3" i="4"/>
  <c r="AO3" i="4"/>
  <c r="AO4" i="4"/>
  <c r="AO5" i="4"/>
  <c r="AO6" i="4"/>
  <c r="AO7" i="4"/>
  <c r="AO8" i="4"/>
  <c r="AO9" i="4"/>
  <c r="AO10" i="4"/>
  <c r="AO11" i="4"/>
  <c r="AO12" i="4"/>
  <c r="AO13" i="4"/>
  <c r="AO14" i="4"/>
  <c r="AE4" i="4"/>
  <c r="AE5" i="4"/>
  <c r="AE6" i="4"/>
  <c r="AE7" i="4"/>
  <c r="AE8" i="4"/>
  <c r="AE9" i="4"/>
  <c r="AE10" i="4"/>
  <c r="AE11" i="4"/>
  <c r="AE12" i="4"/>
  <c r="AE13" i="4"/>
  <c r="AE14" i="4"/>
  <c r="AE3" i="4"/>
  <c r="K4" i="4"/>
  <c r="K5" i="4"/>
  <c r="K6" i="4"/>
  <c r="K7" i="4"/>
  <c r="K8" i="4"/>
  <c r="K9" i="4"/>
  <c r="K10" i="4"/>
  <c r="K11" i="4"/>
  <c r="K12" i="4"/>
  <c r="K13" i="4"/>
  <c r="K14" i="4"/>
  <c r="K3" i="4"/>
  <c r="F7" i="4"/>
  <c r="I15" i="1"/>
  <c r="J15" i="1"/>
  <c r="H15" i="1"/>
  <c r="D15" i="1"/>
  <c r="E15" i="1"/>
  <c r="C15" i="1"/>
  <c r="I15" i="3"/>
  <c r="J15" i="3"/>
  <c r="H15" i="3"/>
  <c r="D15" i="3"/>
  <c r="E15" i="3"/>
  <c r="C15" i="3"/>
  <c r="AJ14" i="4"/>
  <c r="Z14" i="4"/>
  <c r="P14" i="4"/>
  <c r="F14" i="4"/>
  <c r="AJ13" i="4"/>
  <c r="Z13" i="4"/>
  <c r="P13" i="4"/>
  <c r="U13" i="4"/>
  <c r="F13" i="4"/>
  <c r="AJ12" i="4"/>
  <c r="Z12" i="4"/>
  <c r="P12" i="4"/>
  <c r="U12" i="4"/>
  <c r="F12" i="4"/>
  <c r="AJ11" i="4"/>
  <c r="Z11" i="4"/>
  <c r="P11" i="4"/>
  <c r="U11" i="4"/>
  <c r="F11" i="4"/>
  <c r="AJ10" i="4"/>
  <c r="Z10" i="4"/>
  <c r="P10" i="4"/>
  <c r="U10" i="4"/>
  <c r="F10" i="4"/>
  <c r="AJ9" i="4"/>
  <c r="Z9" i="4"/>
  <c r="P9" i="4"/>
  <c r="U9" i="4"/>
  <c r="F9" i="4"/>
  <c r="AJ8" i="4"/>
  <c r="Z8" i="4"/>
  <c r="P8" i="4"/>
  <c r="U8" i="4"/>
  <c r="F8" i="4"/>
  <c r="AJ7" i="4"/>
  <c r="Z7" i="4"/>
  <c r="P7" i="4"/>
  <c r="U7" i="4"/>
  <c r="AJ6" i="4"/>
  <c r="Z6" i="4"/>
  <c r="P6" i="4"/>
  <c r="U6" i="4"/>
  <c r="F6" i="4"/>
  <c r="AJ5" i="4"/>
  <c r="Z5" i="4"/>
  <c r="P5" i="4"/>
  <c r="U5" i="4"/>
  <c r="F5" i="4"/>
  <c r="AJ4" i="4"/>
  <c r="Z4" i="4"/>
  <c r="P4" i="4"/>
  <c r="U4" i="4"/>
  <c r="F4" i="4"/>
  <c r="AJ3" i="4"/>
  <c r="Z3" i="4"/>
  <c r="P3" i="4"/>
  <c r="U3" i="4"/>
  <c r="F3" i="4"/>
  <c r="K9" i="3"/>
  <c r="K10" i="3"/>
  <c r="K11" i="3"/>
  <c r="K12" i="3"/>
  <c r="K13" i="3"/>
  <c r="K14" i="3"/>
  <c r="K8" i="3"/>
  <c r="K7" i="3"/>
  <c r="K6" i="3"/>
  <c r="F6" i="3"/>
  <c r="F7" i="3"/>
  <c r="F8" i="3"/>
  <c r="F9" i="3"/>
  <c r="F10" i="3"/>
  <c r="F11" i="3"/>
  <c r="F12" i="3"/>
  <c r="F13" i="3"/>
  <c r="F14" i="3"/>
  <c r="K5" i="3"/>
  <c r="K4" i="3"/>
  <c r="K3" i="3"/>
  <c r="F5" i="3"/>
  <c r="F4" i="3"/>
  <c r="F3" i="3"/>
  <c r="K14" i="1"/>
  <c r="F14" i="1"/>
  <c r="K13" i="1"/>
  <c r="F13" i="1"/>
  <c r="K12" i="1"/>
  <c r="F12" i="1"/>
  <c r="K11" i="1"/>
  <c r="F11" i="1"/>
  <c r="K10" i="1"/>
  <c r="F10" i="1"/>
  <c r="K9" i="1"/>
  <c r="F9" i="1"/>
  <c r="K8" i="1"/>
  <c r="F8" i="1"/>
  <c r="K7" i="1"/>
  <c r="F7" i="1"/>
  <c r="K6" i="1"/>
  <c r="F6" i="1"/>
  <c r="K5" i="1"/>
  <c r="F5" i="1"/>
  <c r="K4" i="1"/>
  <c r="K15" i="1" s="1"/>
  <c r="F4" i="1"/>
  <c r="F15" i="1" s="1"/>
  <c r="K3" i="1"/>
  <c r="F3" i="1"/>
  <c r="BD30" i="6" l="1"/>
  <c r="BD29" i="6"/>
  <c r="AO15" i="6"/>
  <c r="BD28" i="6"/>
  <c r="BD27" i="6"/>
  <c r="BD25" i="6"/>
  <c r="BD26" i="6"/>
  <c r="I15" i="6"/>
  <c r="BD23" i="6"/>
  <c r="BD24" i="6"/>
  <c r="BD22" i="6"/>
  <c r="BB7" i="6"/>
  <c r="BB15" i="6" s="1"/>
  <c r="BC7" i="6"/>
  <c r="BC15" i="6" s="1"/>
  <c r="BB8" i="6"/>
  <c r="BC8" i="6"/>
  <c r="BB9" i="6"/>
  <c r="BC9" i="6"/>
  <c r="BB10" i="6"/>
  <c r="BD10" i="6" s="1"/>
  <c r="BB11" i="6"/>
  <c r="BC11" i="6"/>
  <c r="BB12" i="6"/>
  <c r="BC12" i="6"/>
  <c r="BB13" i="6"/>
  <c r="BC13" i="6"/>
  <c r="BB14" i="6"/>
  <c r="BC14" i="6"/>
  <c r="K10" i="6"/>
  <c r="K5" i="6"/>
  <c r="K7" i="6"/>
  <c r="K4" i="6"/>
  <c r="K9" i="6"/>
  <c r="K12" i="6"/>
  <c r="K14" i="6"/>
  <c r="K6" i="6"/>
  <c r="K8" i="6"/>
  <c r="K11" i="6"/>
  <c r="K13" i="6"/>
  <c r="H15" i="6"/>
  <c r="K3" i="6"/>
  <c r="AT15" i="6"/>
  <c r="AY3" i="6"/>
  <c r="BD3" i="6"/>
  <c r="AJ15" i="6"/>
  <c r="AE15" i="6"/>
  <c r="Z15" i="6"/>
  <c r="BA15" i="6"/>
  <c r="AY14" i="6"/>
  <c r="AY11" i="6"/>
  <c r="BD14" i="6"/>
  <c r="AY9" i="6"/>
  <c r="AY5" i="6"/>
  <c r="AY8" i="6"/>
  <c r="AY12" i="6"/>
  <c r="U15" i="6"/>
  <c r="AY6" i="6"/>
  <c r="AY4" i="6"/>
  <c r="AY7" i="6"/>
  <c r="BD5" i="6"/>
  <c r="AY13" i="6"/>
  <c r="P15" i="6"/>
  <c r="AV15" i="6"/>
  <c r="AW15" i="6"/>
  <c r="BD4" i="6"/>
  <c r="AX15" i="6"/>
  <c r="BD6" i="6"/>
  <c r="AY10" i="6"/>
  <c r="F15" i="6"/>
  <c r="AT14" i="5"/>
  <c r="AY13" i="5"/>
  <c r="AT13" i="5"/>
  <c r="AY10" i="5"/>
  <c r="AY12" i="5"/>
  <c r="AY11" i="5"/>
  <c r="AT12" i="5"/>
  <c r="AT11" i="5"/>
  <c r="AY9" i="5"/>
  <c r="AT9" i="5"/>
  <c r="F15" i="5"/>
  <c r="AY4" i="5"/>
  <c r="AT4" i="5"/>
  <c r="AE15" i="5"/>
  <c r="K15" i="5"/>
  <c r="AO15" i="5"/>
  <c r="AJ15" i="5"/>
  <c r="Z15" i="5"/>
  <c r="AT10" i="5"/>
  <c r="U15" i="5"/>
  <c r="AT8" i="5"/>
  <c r="AY7" i="5"/>
  <c r="AT5" i="5"/>
  <c r="P15" i="5"/>
  <c r="AT6" i="5"/>
  <c r="AT7" i="5"/>
  <c r="AY6" i="5"/>
  <c r="AY8" i="5"/>
  <c r="AT3" i="5"/>
  <c r="AY5" i="5"/>
  <c r="AY14" i="5"/>
  <c r="AY3" i="5"/>
  <c r="AT14" i="4"/>
  <c r="AY14" i="4"/>
  <c r="AY6" i="4"/>
  <c r="AR15" i="4"/>
  <c r="AX15" i="4"/>
  <c r="AT13" i="4"/>
  <c r="AY13" i="4"/>
  <c r="AT12" i="4"/>
  <c r="AY12" i="4"/>
  <c r="AT11" i="4"/>
  <c r="AT10" i="4"/>
  <c r="AY8" i="4"/>
  <c r="AS15" i="4"/>
  <c r="AT5" i="4"/>
  <c r="Z15" i="4"/>
  <c r="AT6" i="4"/>
  <c r="AY9" i="4"/>
  <c r="AY7" i="4"/>
  <c r="AY5" i="4"/>
  <c r="AO15" i="4"/>
  <c r="AT9" i="4"/>
  <c r="AT7" i="4"/>
  <c r="AY3" i="4"/>
  <c r="AJ15" i="4"/>
  <c r="F15" i="4"/>
  <c r="K15" i="4"/>
  <c r="AE15" i="4"/>
  <c r="AW15" i="4"/>
  <c r="U15" i="4"/>
  <c r="P15" i="4"/>
  <c r="AT3" i="4"/>
  <c r="AV15" i="4"/>
  <c r="AT8" i="4"/>
  <c r="AQ15" i="4"/>
  <c r="AT4" i="4"/>
  <c r="AY10" i="4"/>
  <c r="AY11" i="4"/>
  <c r="AY4" i="4"/>
  <c r="AO15" i="1"/>
  <c r="AJ15" i="1"/>
  <c r="AE15" i="1"/>
  <c r="Z15" i="1"/>
  <c r="AT14" i="1"/>
  <c r="AT12" i="1"/>
  <c r="AT13" i="1"/>
  <c r="AT11" i="1"/>
  <c r="AT10" i="1"/>
  <c r="AT9" i="1"/>
  <c r="AT8" i="1"/>
  <c r="AT7" i="1"/>
  <c r="AS15" i="1"/>
  <c r="AT6" i="1"/>
  <c r="AT5" i="1"/>
  <c r="AR15" i="1"/>
  <c r="P15" i="1"/>
  <c r="AT3" i="1"/>
  <c r="AQ15" i="1"/>
  <c r="AT4" i="1"/>
  <c r="AO15" i="3"/>
  <c r="AJ15" i="3"/>
  <c r="AE15" i="3"/>
  <c r="Z15" i="3"/>
  <c r="AT4" i="3"/>
  <c r="AT13" i="3"/>
  <c r="U15" i="3"/>
  <c r="AT14" i="3"/>
  <c r="AT12" i="3"/>
  <c r="AT11" i="3"/>
  <c r="AT10" i="3"/>
  <c r="AT9" i="3"/>
  <c r="AS15" i="3"/>
  <c r="AT8" i="3"/>
  <c r="AT7" i="3"/>
  <c r="AR15" i="3"/>
  <c r="AT6" i="3"/>
  <c r="AQ15" i="3"/>
  <c r="P15" i="3"/>
  <c r="AT3" i="3"/>
  <c r="F15" i="3"/>
  <c r="K15" i="3"/>
  <c r="BD13" i="6" l="1"/>
  <c r="BD12" i="6"/>
  <c r="BD11" i="6"/>
  <c r="BD9" i="6"/>
  <c r="BD8" i="6"/>
  <c r="BD7" i="6"/>
  <c r="BD15" i="6" s="1"/>
  <c r="K15" i="6"/>
  <c r="AY15" i="6"/>
  <c r="AY15" i="5"/>
  <c r="AY15" i="4"/>
  <c r="AT15" i="4"/>
  <c r="AT15" i="1"/>
  <c r="AT15" i="3"/>
</calcChain>
</file>

<file path=xl/sharedStrings.xml><?xml version="1.0" encoding="utf-8"?>
<sst xmlns="http://schemas.openxmlformats.org/spreadsheetml/2006/main" count="281" uniqueCount="26">
  <si>
    <t xml:space="preserve">The material and the information (including, without limitation, any future rates) contained in this presentation and in any documentation attached to it (together, the "Information") are provided by H. Clarkson &amp; Company Limited and/or one of its ‘connected persons’ (together "Clarksons") for general information purposes only.  It does not constitute an offer, recommendation or solicitation to any person to enter into any transaction nor does it constitute any predication of likely future movement in rates or prices.  The Information is drawn from Clarksons's databases and other publicly available sources. This Information is confidential and is solely for the use of those to whom it is provided by Clarksons (the “Recipients”). In this disclaimer 'connected persons' means, in relation to Clarksons, its ultimate holding company, subsidiaries and subsidiary undertakings of its ultimate holding company and the respective shareholders, directors, officers, employees and agents of each of them. Clarksons advises that: (i) any Information extracted from Clarksons's databases is derived from estimates and/or subjective judgments; (ii) any Information extracted from the Clarksons databases of other maritime data collection agencies may differ from the Information extracted from Clarksons’s databases; (iii ) whilst Clarksons has taken reasonable care in the compilation of the Information and believes it to be accurate and correct, data compilation is subject to limited audit and validation procedures, may accordingly contain errors, and we cannot guarantee its accuracy; (iv) the provision of the Information does not obviate the Recipient or any other person of the need to make appropriate further enquiries; (v) the provision of the Information is not an endorsement of any commercial policies and/or any conclusions by Clarksons and its 'connected persons', and is not intended to recommend any decision by the recipient or any other person; (vi) shipping/offshore is a variable and cyclical business and any forecasting concerning it may not be accurate. The Information is provided on an "as is" and “as available” basis. Clarksons and its ‘connected persons’ make no representations or warranties of any kind, express or implied, about the completeness, accuracy, reliability, suitability or availability with respect to the Information. Opinions, projections and/or change without notice.  Any reliance placed on such Information is therefore strictly at Recipients’ own risk. Neither the whole nor any part of the Information may be used or relied upon by, any other person or used for any purpose without the prior written consent of Clarksons or one of its connected persons. Especially, the information is not to be used in any document for the purposes of raising finance whether by way of debt or equity. All intellectual property rights are fully reserved by Clarksons, its ‘connected persons’ and/or its licensors.  Clarksons and/or its connected persons do not purport to provide you with investment, legal or tax advice._x000D_
_x000D_
To the extent permitted by law, Clarksons and its ‘connected persons’ shall not be liable to the Recipients or any of other person or any third party for any loss, liability, damage, cost or expense including without limitation, direct, indirect, consequential loss or damage, any loss of profit, loss of use, loss of or interruption in business, loss of goodwill, loss of data arising out of, or in connection with, the use of and the reliance on the Information whether in contract, tort, negligence, bailment, breach of statutory duty or otherwise, directly or indirectly from the Recipient’s use of the Information, even if foreseeable._x000D_
_x000D_
These exclusions shall override any terms or conditions otherwise applicable but do not apply to (i) death or personal injury caused by the negligence of Clarksons and its ‘connected persons’ or (ii) the liability of Clarksons and its ‘connected persons’ for fraud or fraudulent misrepresentation. This disclaimer shall be governed by and construed in accordance with the laws of England to the jurisdiction of whose Courts the Recipients shall for the benefit of Clarksons and by acceptance of the Information be deemed to have accepted as having exclusive jurisdiction over any dispute regarding or involving any of the Information or this disclaimer._x000D_
</t>
  </si>
  <si>
    <t>MEG</t>
  </si>
  <si>
    <t>WAF</t>
  </si>
  <si>
    <t>EC SOUTH AMERICA</t>
  </si>
  <si>
    <t xml:space="preserve">UKC </t>
  </si>
  <si>
    <t xml:space="preserve">DAYS </t>
  </si>
  <si>
    <t>MONTH</t>
  </si>
  <si>
    <t xml:space="preserve">1st </t>
  </si>
  <si>
    <t xml:space="preserve">2nd </t>
  </si>
  <si>
    <t>3rd</t>
  </si>
  <si>
    <t>TTL</t>
  </si>
  <si>
    <t>WC SOUTH AMERICA</t>
  </si>
  <si>
    <t>USG</t>
  </si>
  <si>
    <t>CARIBS/ECMEX</t>
  </si>
  <si>
    <t>MED</t>
  </si>
  <si>
    <t>ATL TOTAL</t>
  </si>
  <si>
    <t>1ST</t>
  </si>
  <si>
    <t>2nd</t>
  </si>
  <si>
    <t>TOTAL</t>
  </si>
  <si>
    <t>ATL TBA</t>
  </si>
  <si>
    <t>2ND</t>
  </si>
  <si>
    <t>3RD</t>
  </si>
  <si>
    <t>RSEA</t>
  </si>
  <si>
    <t>MEG TBA</t>
  </si>
  <si>
    <t>MEG/RSEA TTL</t>
  </si>
  <si>
    <t>MEG/STS WCI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</si>
</sst>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0"/>
      <color theme="1"/>
      <name val="Calibri"/>
      <family val="2"/>
      <scheme val="minor"/>
    </font>
    <font>
      <b/>
      <sz val="10"/>
      <color theme="1"/>
      <name val="Calibri"/>
      <family val="2"/>
      <scheme val="minor"/>
    </font>
    <font>
      <sz val="8"/>
      <name val="Calibri"/>
      <family val="2"/>
      <scheme val="minor"/>
    </font>
    <font>
      <b/>
      <sz val="11"/>
      <color theme="1"/>
      <name val="Calibri"/>
      <family val="2"/>
      <scheme val="minor"/>
    </font>
    <font>
      <b/>
      <sz val="10"/>
      <name val="Calibri"/>
      <family val="2"/>
      <scheme val="minor"/>
    </font>
    <font>
      <sz val="10"/>
      <name val="Calibri"/>
      <family val="2"/>
      <scheme val="minor"/>
    </font>
  </fonts>
  <fills count="9">
    <fill>
      <patternFill patternType="none"/>
    </fill>
    <fill>
      <patternFill patternType="gray125"/>
    </fill>
    <fill>
      <patternFill patternType="solid">
        <fgColor rgb="FF00B0F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wrapText="1"/>
    </xf>
    <xf numFmtId="0" fontId="2" fillId="3" borderId="1" xfId="0" applyFont="1" applyFill="1" applyBorder="1" applyAlignment="1">
      <alignment horizontal="center"/>
    </xf>
    <xf numFmtId="49" fontId="2" fillId="4" borderId="1" xfId="0" applyNumberFormat="1" applyFont="1" applyFill="1" applyBorder="1" applyAlignment="1">
      <alignment horizontal="center" vertical="top"/>
    </xf>
    <xf numFmtId="49" fontId="2" fillId="5" borderId="1" xfId="0" applyNumberFormat="1" applyFont="1" applyFill="1" applyBorder="1" applyAlignment="1">
      <alignment horizontal="center" vertical="top"/>
    </xf>
    <xf numFmtId="0" fontId="2" fillId="0" borderId="1" xfId="0" applyFont="1" applyBorder="1" applyAlignment="1">
      <alignment horizontal="center" vertical="top"/>
    </xf>
    <xf numFmtId="17" fontId="2" fillId="0" borderId="1" xfId="0" applyNumberFormat="1" applyFont="1" applyBorder="1" applyAlignment="1">
      <alignment horizontal="center" vertical="top"/>
    </xf>
    <xf numFmtId="0" fontId="1" fillId="0" borderId="1" xfId="0" applyFont="1" applyBorder="1" applyAlignment="1">
      <alignment horizontal="center"/>
    </xf>
    <xf numFmtId="0" fontId="1" fillId="6" borderId="1" xfId="0" applyFont="1" applyFill="1" applyBorder="1" applyAlignment="1">
      <alignment horizontal="center"/>
    </xf>
    <xf numFmtId="164" fontId="1" fillId="6" borderId="1" xfId="0" applyNumberFormat="1" applyFont="1" applyFill="1" applyBorder="1" applyAlignment="1">
      <alignment horizontal="center"/>
    </xf>
    <xf numFmtId="0" fontId="1" fillId="0" borderId="6" xfId="0" applyFont="1" applyBorder="1" applyAlignment="1">
      <alignment horizontal="center"/>
    </xf>
    <xf numFmtId="0" fontId="2" fillId="7" borderId="1" xfId="0" applyFont="1" applyFill="1" applyBorder="1" applyAlignment="1">
      <alignment horizontal="center" vertical="top"/>
    </xf>
    <xf numFmtId="17" fontId="2" fillId="7" borderId="1" xfId="0" applyNumberFormat="1" applyFont="1" applyFill="1" applyBorder="1" applyAlignment="1">
      <alignment horizontal="center" vertical="top"/>
    </xf>
    <xf numFmtId="0" fontId="1" fillId="7" borderId="1" xfId="0" applyFont="1" applyFill="1" applyBorder="1" applyAlignment="1">
      <alignment horizontal="center"/>
    </xf>
    <xf numFmtId="0" fontId="4" fillId="0" borderId="0" xfId="0" applyFont="1"/>
    <xf numFmtId="17" fontId="4" fillId="0" borderId="0" xfId="0" applyNumberFormat="1" applyFont="1"/>
    <xf numFmtId="0" fontId="5" fillId="0" borderId="1" xfId="0" applyFont="1" applyBorder="1" applyAlignment="1">
      <alignment horizontal="center" vertical="top"/>
    </xf>
    <xf numFmtId="17" fontId="5" fillId="0" borderId="1" xfId="0" applyNumberFormat="1" applyFont="1" applyBorder="1" applyAlignment="1">
      <alignment horizontal="center" vertical="top"/>
    </xf>
    <xf numFmtId="0" fontId="6" fillId="0" borderId="1" xfId="0" applyFont="1" applyBorder="1" applyAlignment="1">
      <alignment horizontal="center"/>
    </xf>
    <xf numFmtId="0" fontId="2" fillId="8" borderId="8" xfId="0" applyFont="1" applyFill="1" applyBorder="1" applyAlignment="1">
      <alignment vertical="top"/>
    </xf>
    <xf numFmtId="0" fontId="2" fillId="8" borderId="5" xfId="0" applyFont="1" applyFill="1" applyBorder="1" applyAlignment="1">
      <alignment vertical="top" wrapText="1"/>
    </xf>
    <xf numFmtId="0" fontId="2" fillId="8" borderId="6" xfId="0" applyFont="1" applyFill="1" applyBorder="1" applyAlignment="1">
      <alignment vertical="top" wrapText="1"/>
    </xf>
    <xf numFmtId="0" fontId="2" fillId="8" borderId="1" xfId="0" applyFont="1" applyFill="1" applyBorder="1" applyAlignment="1">
      <alignment horizontal="center" vertical="top"/>
    </xf>
    <xf numFmtId="17" fontId="2" fillId="8" borderId="1" xfId="0" applyNumberFormat="1" applyFont="1" applyFill="1" applyBorder="1" applyAlignment="1">
      <alignment horizontal="center" vertical="top"/>
    </xf>
    <xf numFmtId="0" fontId="1" fillId="8" borderId="1" xfId="0" applyFont="1" applyFill="1" applyBorder="1" applyAlignment="1">
      <alignment horizontal="center"/>
    </xf>
    <xf numFmtId="0" fontId="2" fillId="0" borderId="6" xfId="0" applyFont="1" applyBorder="1" applyAlignment="1">
      <alignment vertical="top" wrapText="1"/>
    </xf>
    <xf numFmtId="0" fontId="2" fillId="0" borderId="8" xfId="0" applyFont="1" applyBorder="1" applyAlignment="1">
      <alignment vertical="top"/>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1" fillId="0" borderId="9" xfId="0" applyFont="1" applyBorder="1" applyAlignment="1">
      <alignment horizontal="center"/>
    </xf>
    <xf numFmtId="0" fontId="1" fillId="0" borderId="10" xfId="0" applyFont="1" applyBorder="1" applyAlignment="1">
      <alignment horizontal="center"/>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xf>
    <xf numFmtId="0" fontId="2" fillId="0" borderId="4" xfId="0" applyFont="1" applyBorder="1" applyAlignment="1">
      <alignment horizontal="center" vertical="top"/>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CE60A-DD48-4D7E-9810-CE8C499813A6}">
  <dimension ref="A1:AT15"/>
  <sheetViews>
    <sheetView workbookViewId="0">
      <selection sqref="A1:B1"/>
    </sheetView>
  </sheetViews>
  <sheetFormatPr defaultRowHeight="15" x14ac:dyDescent="0.25"/>
  <cols>
    <col min="7" max="7" width="3.28515625" customWidth="1"/>
    <col min="12" max="12" width="3.85546875" customWidth="1"/>
    <col min="17" max="17" width="3.7109375" customWidth="1"/>
    <col min="22" max="22" width="3.5703125" customWidth="1"/>
  </cols>
  <sheetData>
    <row r="1" spans="1:46" ht="15" customHeight="1" x14ac:dyDescent="0.25">
      <c r="A1" s="30"/>
      <c r="B1" s="31"/>
      <c r="C1" s="37" t="s">
        <v>1</v>
      </c>
      <c r="D1" s="38"/>
      <c r="E1" s="38"/>
      <c r="F1" s="38"/>
      <c r="G1" s="35"/>
      <c r="H1" s="27" t="s">
        <v>2</v>
      </c>
      <c r="I1" s="28"/>
      <c r="J1" s="28"/>
      <c r="K1" s="29"/>
      <c r="L1" s="32"/>
      <c r="M1" s="27" t="s">
        <v>12</v>
      </c>
      <c r="N1" s="28"/>
      <c r="O1" s="28"/>
      <c r="P1" s="29"/>
      <c r="Q1" s="32"/>
      <c r="R1" s="27" t="s">
        <v>13</v>
      </c>
      <c r="S1" s="28"/>
      <c r="T1" s="28"/>
      <c r="U1" s="29"/>
      <c r="V1" s="33"/>
      <c r="W1" s="27" t="s">
        <v>3</v>
      </c>
      <c r="X1" s="28"/>
      <c r="Y1" s="28"/>
      <c r="Z1" s="29"/>
      <c r="AA1" s="32"/>
      <c r="AB1" s="27" t="s">
        <v>11</v>
      </c>
      <c r="AC1" s="28"/>
      <c r="AD1" s="28"/>
      <c r="AE1" s="28"/>
      <c r="AF1" s="32"/>
      <c r="AG1" s="27" t="s">
        <v>4</v>
      </c>
      <c r="AH1" s="28"/>
      <c r="AI1" s="28"/>
      <c r="AJ1" s="28"/>
      <c r="AK1" s="32"/>
      <c r="AL1" s="27" t="s">
        <v>14</v>
      </c>
      <c r="AM1" s="28"/>
      <c r="AN1" s="28"/>
      <c r="AO1" s="28"/>
      <c r="AP1" s="32"/>
      <c r="AQ1" s="27" t="s">
        <v>15</v>
      </c>
      <c r="AR1" s="28"/>
      <c r="AS1" s="28"/>
      <c r="AT1" s="28"/>
    </row>
    <row r="2" spans="1:46" x14ac:dyDescent="0.25">
      <c r="A2" s="2" t="s">
        <v>5</v>
      </c>
      <c r="B2" s="2" t="s">
        <v>6</v>
      </c>
      <c r="C2" s="3" t="s">
        <v>7</v>
      </c>
      <c r="D2" s="3" t="s">
        <v>8</v>
      </c>
      <c r="E2" s="3" t="s">
        <v>9</v>
      </c>
      <c r="F2" s="4" t="s">
        <v>10</v>
      </c>
      <c r="G2" s="35"/>
      <c r="H2" s="3" t="s">
        <v>7</v>
      </c>
      <c r="I2" s="3" t="s">
        <v>8</v>
      </c>
      <c r="J2" s="3" t="s">
        <v>9</v>
      </c>
      <c r="K2" s="4" t="s">
        <v>10</v>
      </c>
      <c r="L2" s="33"/>
      <c r="M2" s="3" t="s">
        <v>7</v>
      </c>
      <c r="N2" s="3" t="s">
        <v>8</v>
      </c>
      <c r="O2" s="3" t="s">
        <v>9</v>
      </c>
      <c r="P2" s="4" t="s">
        <v>10</v>
      </c>
      <c r="Q2" s="33"/>
      <c r="R2" s="3" t="s">
        <v>7</v>
      </c>
      <c r="S2" s="3" t="s">
        <v>8</v>
      </c>
      <c r="T2" s="3" t="s">
        <v>9</v>
      </c>
      <c r="U2" s="4" t="s">
        <v>10</v>
      </c>
      <c r="V2" s="33"/>
      <c r="W2" s="3" t="s">
        <v>7</v>
      </c>
      <c r="X2" s="3" t="s">
        <v>8</v>
      </c>
      <c r="Y2" s="3" t="s">
        <v>9</v>
      </c>
      <c r="Z2" s="4" t="s">
        <v>10</v>
      </c>
      <c r="AA2" s="33"/>
      <c r="AB2" s="3" t="s">
        <v>7</v>
      </c>
      <c r="AC2" s="3" t="s">
        <v>8</v>
      </c>
      <c r="AD2" s="3" t="s">
        <v>9</v>
      </c>
      <c r="AE2" s="4" t="s">
        <v>10</v>
      </c>
      <c r="AF2" s="33"/>
      <c r="AG2" s="3" t="s">
        <v>7</v>
      </c>
      <c r="AH2" s="3" t="s">
        <v>8</v>
      </c>
      <c r="AI2" s="3" t="s">
        <v>9</v>
      </c>
      <c r="AJ2" s="4" t="s">
        <v>10</v>
      </c>
      <c r="AK2" s="33"/>
      <c r="AL2" s="3" t="s">
        <v>16</v>
      </c>
      <c r="AM2" s="3" t="s">
        <v>17</v>
      </c>
      <c r="AN2" s="3" t="s">
        <v>9</v>
      </c>
      <c r="AO2" s="4" t="s">
        <v>10</v>
      </c>
      <c r="AP2" s="33"/>
      <c r="AQ2" s="3" t="s">
        <v>16</v>
      </c>
      <c r="AR2" s="3" t="s">
        <v>17</v>
      </c>
      <c r="AS2" s="3" t="s">
        <v>9</v>
      </c>
      <c r="AT2" s="4" t="s">
        <v>10</v>
      </c>
    </row>
    <row r="3" spans="1:46" x14ac:dyDescent="0.25">
      <c r="A3" s="5">
        <v>31</v>
      </c>
      <c r="B3" s="6">
        <v>44562</v>
      </c>
      <c r="C3" s="7">
        <v>40</v>
      </c>
      <c r="D3" s="7">
        <v>43</v>
      </c>
      <c r="E3" s="7">
        <v>39</v>
      </c>
      <c r="F3" s="7">
        <f t="shared" ref="F3:F14" si="0">C3+D3+E3</f>
        <v>122</v>
      </c>
      <c r="G3" s="35"/>
      <c r="H3" s="7">
        <v>9</v>
      </c>
      <c r="I3" s="7">
        <v>9</v>
      </c>
      <c r="J3" s="7">
        <v>9</v>
      </c>
      <c r="K3" s="7">
        <f t="shared" ref="K3:K14" si="1">H3+J3+I3</f>
        <v>27</v>
      </c>
      <c r="L3" s="33"/>
      <c r="M3" s="7">
        <v>6</v>
      </c>
      <c r="N3" s="7">
        <v>9</v>
      </c>
      <c r="O3" s="7">
        <v>7</v>
      </c>
      <c r="P3" s="7">
        <f>M3+N3+O3</f>
        <v>22</v>
      </c>
      <c r="Q3" s="33"/>
      <c r="R3" s="7">
        <v>2</v>
      </c>
      <c r="S3" s="7">
        <v>0</v>
      </c>
      <c r="T3" s="7">
        <v>1</v>
      </c>
      <c r="U3" s="7">
        <f t="shared" ref="U3:U14" si="2">R3+S3+T3</f>
        <v>3</v>
      </c>
      <c r="V3" s="33"/>
      <c r="W3" s="7">
        <v>2</v>
      </c>
      <c r="X3" s="7">
        <v>4</v>
      </c>
      <c r="Y3" s="7">
        <v>2</v>
      </c>
      <c r="Z3" s="7">
        <f t="shared" ref="Z3:Z14" si="3">W3+X3+Y3</f>
        <v>8</v>
      </c>
      <c r="AA3" s="33"/>
      <c r="AB3" s="7">
        <v>0</v>
      </c>
      <c r="AC3" s="7">
        <v>0</v>
      </c>
      <c r="AD3" s="7">
        <v>1</v>
      </c>
      <c r="AE3" s="7">
        <f>AB3+AC3+AD3</f>
        <v>1</v>
      </c>
      <c r="AF3" s="33"/>
      <c r="AG3" s="7">
        <v>2</v>
      </c>
      <c r="AH3" s="7">
        <v>3</v>
      </c>
      <c r="AI3" s="7">
        <v>3</v>
      </c>
      <c r="AJ3" s="7">
        <f t="shared" ref="AJ3:AJ14" si="4">AG3+AH3+AI3</f>
        <v>8</v>
      </c>
      <c r="AK3" s="33"/>
      <c r="AL3" s="7">
        <v>1</v>
      </c>
      <c r="AM3" s="7">
        <v>0</v>
      </c>
      <c r="AN3" s="7">
        <v>0</v>
      </c>
      <c r="AO3" s="7">
        <f>AL3+AM3+AN3</f>
        <v>1</v>
      </c>
      <c r="AP3" s="33"/>
      <c r="AQ3" s="7">
        <f>H3+M3+R3+W3+AG3+AL3</f>
        <v>22</v>
      </c>
      <c r="AR3" s="7">
        <f t="shared" ref="AR3:AS14" si="5">I3+N3+S3+X3+AH3+AM3</f>
        <v>25</v>
      </c>
      <c r="AS3" s="7">
        <f t="shared" si="5"/>
        <v>22</v>
      </c>
      <c r="AT3" s="7">
        <f>AQ3+AR3+AS3</f>
        <v>69</v>
      </c>
    </row>
    <row r="4" spans="1:46" x14ac:dyDescent="0.25">
      <c r="A4" s="5">
        <v>28</v>
      </c>
      <c r="B4" s="6">
        <v>44593</v>
      </c>
      <c r="C4" s="7">
        <v>39</v>
      </c>
      <c r="D4" s="7">
        <v>39</v>
      </c>
      <c r="E4" s="7">
        <v>35</v>
      </c>
      <c r="F4" s="7">
        <f t="shared" si="0"/>
        <v>113</v>
      </c>
      <c r="G4" s="35"/>
      <c r="H4" s="7">
        <v>10</v>
      </c>
      <c r="I4" s="7">
        <v>9</v>
      </c>
      <c r="J4" s="7">
        <v>9</v>
      </c>
      <c r="K4" s="7">
        <f t="shared" si="1"/>
        <v>28</v>
      </c>
      <c r="L4" s="33"/>
      <c r="M4" s="7">
        <v>2</v>
      </c>
      <c r="N4" s="7">
        <v>10</v>
      </c>
      <c r="O4" s="7">
        <v>3</v>
      </c>
      <c r="P4" s="7">
        <f t="shared" ref="P4:P14" si="6">M4+N4+O4</f>
        <v>15</v>
      </c>
      <c r="Q4" s="33"/>
      <c r="R4" s="7">
        <v>2</v>
      </c>
      <c r="S4" s="7">
        <v>1</v>
      </c>
      <c r="T4" s="7">
        <v>0</v>
      </c>
      <c r="U4" s="7">
        <f t="shared" si="2"/>
        <v>3</v>
      </c>
      <c r="V4" s="33"/>
      <c r="W4" s="7">
        <v>4</v>
      </c>
      <c r="X4" s="7">
        <v>4</v>
      </c>
      <c r="Y4" s="7">
        <v>2</v>
      </c>
      <c r="Z4" s="7">
        <f t="shared" si="3"/>
        <v>10</v>
      </c>
      <c r="AA4" s="33"/>
      <c r="AB4" s="7">
        <v>2</v>
      </c>
      <c r="AC4" s="7">
        <v>2</v>
      </c>
      <c r="AD4" s="7">
        <v>2</v>
      </c>
      <c r="AE4" s="7">
        <f t="shared" ref="AE4:AE15" si="7">AB4+AC4+AD4</f>
        <v>6</v>
      </c>
      <c r="AF4" s="33"/>
      <c r="AG4" s="7">
        <v>3</v>
      </c>
      <c r="AH4" s="7">
        <v>2</v>
      </c>
      <c r="AI4" s="7">
        <v>3</v>
      </c>
      <c r="AJ4" s="7">
        <f t="shared" si="4"/>
        <v>8</v>
      </c>
      <c r="AK4" s="33"/>
      <c r="AL4" s="10">
        <v>0</v>
      </c>
      <c r="AM4" s="7">
        <v>0</v>
      </c>
      <c r="AN4" s="7">
        <v>1</v>
      </c>
      <c r="AO4" s="7">
        <f>AL3+AM4+AN4</f>
        <v>2</v>
      </c>
      <c r="AP4" s="33"/>
      <c r="AQ4" s="7">
        <f t="shared" ref="AQ4:AQ14" si="8">H4+M4+R4+W4+AG4+AL4</f>
        <v>21</v>
      </c>
      <c r="AR4" s="7">
        <f t="shared" si="5"/>
        <v>26</v>
      </c>
      <c r="AS4" s="7">
        <f t="shared" si="5"/>
        <v>18</v>
      </c>
      <c r="AT4" s="7">
        <f>AQ3+AR4+AS4</f>
        <v>66</v>
      </c>
    </row>
    <row r="5" spans="1:46" x14ac:dyDescent="0.25">
      <c r="A5" s="5">
        <v>31</v>
      </c>
      <c r="B5" s="6">
        <v>44621</v>
      </c>
      <c r="C5" s="7">
        <v>39</v>
      </c>
      <c r="D5" s="7">
        <v>46</v>
      </c>
      <c r="E5" s="7">
        <v>43</v>
      </c>
      <c r="F5" s="7">
        <f t="shared" si="0"/>
        <v>128</v>
      </c>
      <c r="G5" s="35"/>
      <c r="H5" s="7">
        <v>11</v>
      </c>
      <c r="I5" s="7">
        <v>9</v>
      </c>
      <c r="J5" s="7">
        <v>10</v>
      </c>
      <c r="K5" s="7">
        <f t="shared" si="1"/>
        <v>30</v>
      </c>
      <c r="L5" s="33"/>
      <c r="M5" s="7">
        <v>2</v>
      </c>
      <c r="N5" s="7">
        <v>9</v>
      </c>
      <c r="O5" s="7">
        <v>7</v>
      </c>
      <c r="P5" s="7">
        <f t="shared" si="6"/>
        <v>18</v>
      </c>
      <c r="Q5" s="33"/>
      <c r="R5" s="7">
        <v>1</v>
      </c>
      <c r="S5" s="7">
        <v>3</v>
      </c>
      <c r="T5" s="7">
        <v>1</v>
      </c>
      <c r="U5" s="7">
        <f t="shared" si="2"/>
        <v>5</v>
      </c>
      <c r="V5" s="33"/>
      <c r="W5" s="7">
        <v>3</v>
      </c>
      <c r="X5" s="7">
        <v>5</v>
      </c>
      <c r="Y5" s="7">
        <v>2</v>
      </c>
      <c r="Z5" s="7">
        <f t="shared" si="3"/>
        <v>10</v>
      </c>
      <c r="AA5" s="33"/>
      <c r="AB5" s="7">
        <v>0</v>
      </c>
      <c r="AC5" s="7">
        <v>2</v>
      </c>
      <c r="AD5" s="7">
        <v>2</v>
      </c>
      <c r="AE5" s="7">
        <f t="shared" si="7"/>
        <v>4</v>
      </c>
      <c r="AF5" s="33"/>
      <c r="AG5" s="7">
        <v>1</v>
      </c>
      <c r="AH5" s="7">
        <v>3</v>
      </c>
      <c r="AI5" s="7">
        <v>2</v>
      </c>
      <c r="AJ5" s="7">
        <f t="shared" si="4"/>
        <v>6</v>
      </c>
      <c r="AK5" s="33"/>
      <c r="AL5" s="7">
        <v>0</v>
      </c>
      <c r="AM5" s="7">
        <v>0</v>
      </c>
      <c r="AN5" s="7">
        <v>1</v>
      </c>
      <c r="AO5" s="7">
        <f t="shared" ref="AO5:AO14" si="9">AL5+AM5+AN5</f>
        <v>1</v>
      </c>
      <c r="AP5" s="33"/>
      <c r="AQ5" s="7">
        <f t="shared" si="8"/>
        <v>18</v>
      </c>
      <c r="AR5" s="7">
        <f t="shared" si="5"/>
        <v>29</v>
      </c>
      <c r="AS5" s="7">
        <f t="shared" si="5"/>
        <v>23</v>
      </c>
      <c r="AT5" s="7">
        <f t="shared" ref="AT5:AT14" si="10">AQ5+AR5+AS5</f>
        <v>70</v>
      </c>
    </row>
    <row r="6" spans="1:46" x14ac:dyDescent="0.25">
      <c r="A6" s="5">
        <v>30</v>
      </c>
      <c r="B6" s="6">
        <v>44652</v>
      </c>
      <c r="C6" s="7">
        <v>44</v>
      </c>
      <c r="D6" s="7">
        <v>47</v>
      </c>
      <c r="E6" s="7">
        <v>46</v>
      </c>
      <c r="F6" s="7">
        <f t="shared" si="0"/>
        <v>137</v>
      </c>
      <c r="G6" s="35"/>
      <c r="H6" s="7">
        <v>10</v>
      </c>
      <c r="I6" s="7">
        <v>11</v>
      </c>
      <c r="J6" s="7">
        <v>11</v>
      </c>
      <c r="K6" s="7">
        <f t="shared" si="1"/>
        <v>32</v>
      </c>
      <c r="L6" s="33"/>
      <c r="M6" s="7">
        <v>3</v>
      </c>
      <c r="N6" s="7">
        <v>11</v>
      </c>
      <c r="O6" s="7">
        <v>4</v>
      </c>
      <c r="P6" s="7">
        <f t="shared" si="6"/>
        <v>18</v>
      </c>
      <c r="Q6" s="33"/>
      <c r="R6" s="7">
        <v>3</v>
      </c>
      <c r="S6" s="7">
        <v>0</v>
      </c>
      <c r="T6" s="7">
        <v>1</v>
      </c>
      <c r="U6" s="7">
        <f t="shared" si="2"/>
        <v>4</v>
      </c>
      <c r="V6" s="33"/>
      <c r="W6" s="7">
        <v>5</v>
      </c>
      <c r="X6" s="7">
        <v>2</v>
      </c>
      <c r="Y6" s="7">
        <v>4</v>
      </c>
      <c r="Z6" s="7">
        <f t="shared" si="3"/>
        <v>11</v>
      </c>
      <c r="AA6" s="33"/>
      <c r="AB6" s="7">
        <v>1</v>
      </c>
      <c r="AC6" s="7">
        <v>0</v>
      </c>
      <c r="AD6" s="7">
        <v>2</v>
      </c>
      <c r="AE6" s="7">
        <f t="shared" si="7"/>
        <v>3</v>
      </c>
      <c r="AF6" s="33"/>
      <c r="AG6" s="7">
        <v>3</v>
      </c>
      <c r="AH6" s="7">
        <v>2</v>
      </c>
      <c r="AI6" s="7">
        <v>2</v>
      </c>
      <c r="AJ6" s="7">
        <f t="shared" si="4"/>
        <v>7</v>
      </c>
      <c r="AK6" s="33"/>
      <c r="AL6" s="7">
        <v>0</v>
      </c>
      <c r="AM6" s="7">
        <v>1</v>
      </c>
      <c r="AN6" s="7">
        <v>0</v>
      </c>
      <c r="AO6" s="7">
        <f t="shared" si="9"/>
        <v>1</v>
      </c>
      <c r="AP6" s="33"/>
      <c r="AQ6" s="7">
        <f t="shared" si="8"/>
        <v>24</v>
      </c>
      <c r="AR6" s="7">
        <f t="shared" si="5"/>
        <v>27</v>
      </c>
      <c r="AS6" s="7">
        <f t="shared" si="5"/>
        <v>22</v>
      </c>
      <c r="AT6" s="7">
        <f t="shared" si="10"/>
        <v>73</v>
      </c>
    </row>
    <row r="7" spans="1:46" x14ac:dyDescent="0.25">
      <c r="A7" s="5">
        <v>31</v>
      </c>
      <c r="B7" s="6">
        <v>44682</v>
      </c>
      <c r="C7" s="7">
        <v>46</v>
      </c>
      <c r="D7" s="7">
        <v>36</v>
      </c>
      <c r="E7" s="7">
        <v>56</v>
      </c>
      <c r="F7" s="7">
        <f t="shared" si="0"/>
        <v>138</v>
      </c>
      <c r="G7" s="35"/>
      <c r="H7" s="7">
        <v>13</v>
      </c>
      <c r="I7" s="7">
        <v>11</v>
      </c>
      <c r="J7" s="7">
        <v>8</v>
      </c>
      <c r="K7" s="7">
        <f t="shared" si="1"/>
        <v>32</v>
      </c>
      <c r="L7" s="33"/>
      <c r="M7" s="7">
        <v>6</v>
      </c>
      <c r="N7" s="7">
        <v>9</v>
      </c>
      <c r="O7" s="7">
        <v>4</v>
      </c>
      <c r="P7" s="7">
        <f t="shared" si="6"/>
        <v>19</v>
      </c>
      <c r="Q7" s="33"/>
      <c r="R7" s="7">
        <v>1</v>
      </c>
      <c r="S7" s="7">
        <v>1</v>
      </c>
      <c r="T7" s="7">
        <v>1</v>
      </c>
      <c r="U7" s="7">
        <f t="shared" si="2"/>
        <v>3</v>
      </c>
      <c r="V7" s="33"/>
      <c r="W7" s="7">
        <v>5</v>
      </c>
      <c r="X7" s="7">
        <v>5</v>
      </c>
      <c r="Y7" s="7">
        <v>4</v>
      </c>
      <c r="Z7" s="7">
        <f t="shared" si="3"/>
        <v>14</v>
      </c>
      <c r="AA7" s="33"/>
      <c r="AB7" s="7">
        <v>1</v>
      </c>
      <c r="AC7" s="7">
        <v>0</v>
      </c>
      <c r="AD7" s="7">
        <v>2</v>
      </c>
      <c r="AE7" s="7">
        <f t="shared" si="7"/>
        <v>3</v>
      </c>
      <c r="AF7" s="33"/>
      <c r="AG7" s="7">
        <v>1</v>
      </c>
      <c r="AH7" s="7">
        <v>1</v>
      </c>
      <c r="AI7" s="7">
        <v>0</v>
      </c>
      <c r="AJ7" s="7">
        <f t="shared" si="4"/>
        <v>2</v>
      </c>
      <c r="AK7" s="33"/>
      <c r="AL7" s="7">
        <v>0</v>
      </c>
      <c r="AM7" s="7">
        <v>0</v>
      </c>
      <c r="AN7" s="7">
        <v>0</v>
      </c>
      <c r="AO7" s="7">
        <f t="shared" si="9"/>
        <v>0</v>
      </c>
      <c r="AP7" s="33"/>
      <c r="AQ7" s="7">
        <f t="shared" si="8"/>
        <v>26</v>
      </c>
      <c r="AR7" s="7">
        <f t="shared" si="5"/>
        <v>27</v>
      </c>
      <c r="AS7" s="7">
        <f t="shared" si="5"/>
        <v>17</v>
      </c>
      <c r="AT7" s="7">
        <f t="shared" si="10"/>
        <v>70</v>
      </c>
    </row>
    <row r="8" spans="1:46" x14ac:dyDescent="0.25">
      <c r="A8" s="5">
        <v>30</v>
      </c>
      <c r="B8" s="6">
        <v>44713</v>
      </c>
      <c r="C8" s="7">
        <v>46</v>
      </c>
      <c r="D8" s="7">
        <v>45</v>
      </c>
      <c r="E8" s="7">
        <v>38</v>
      </c>
      <c r="F8" s="7">
        <f t="shared" si="0"/>
        <v>129</v>
      </c>
      <c r="G8" s="35"/>
      <c r="H8" s="7">
        <v>8</v>
      </c>
      <c r="I8" s="7">
        <v>9</v>
      </c>
      <c r="J8" s="7">
        <v>8</v>
      </c>
      <c r="K8" s="7">
        <f t="shared" si="1"/>
        <v>25</v>
      </c>
      <c r="L8" s="33"/>
      <c r="M8" s="7">
        <v>5</v>
      </c>
      <c r="N8" s="7">
        <v>9</v>
      </c>
      <c r="O8" s="7">
        <v>3</v>
      </c>
      <c r="P8" s="7">
        <f t="shared" si="6"/>
        <v>17</v>
      </c>
      <c r="Q8" s="33"/>
      <c r="R8" s="7">
        <v>2</v>
      </c>
      <c r="S8" s="7">
        <v>0</v>
      </c>
      <c r="T8" s="7">
        <v>3</v>
      </c>
      <c r="U8" s="7">
        <f t="shared" si="2"/>
        <v>5</v>
      </c>
      <c r="V8" s="33"/>
      <c r="W8" s="7">
        <v>6</v>
      </c>
      <c r="X8" s="7">
        <v>1</v>
      </c>
      <c r="Y8" s="7">
        <v>4</v>
      </c>
      <c r="Z8" s="7">
        <f t="shared" si="3"/>
        <v>11</v>
      </c>
      <c r="AA8" s="33"/>
      <c r="AB8" s="7">
        <v>1</v>
      </c>
      <c r="AC8" s="7">
        <v>2</v>
      </c>
      <c r="AD8" s="7">
        <v>0</v>
      </c>
      <c r="AE8" s="7">
        <f t="shared" si="7"/>
        <v>3</v>
      </c>
      <c r="AF8" s="33"/>
      <c r="AG8" s="7">
        <v>2</v>
      </c>
      <c r="AH8" s="7">
        <v>1</v>
      </c>
      <c r="AI8" s="7">
        <v>0</v>
      </c>
      <c r="AJ8" s="7">
        <f t="shared" si="4"/>
        <v>3</v>
      </c>
      <c r="AK8" s="33"/>
      <c r="AL8" s="7">
        <v>0</v>
      </c>
      <c r="AM8" s="7">
        <v>0</v>
      </c>
      <c r="AN8" s="7">
        <v>0</v>
      </c>
      <c r="AO8" s="7">
        <f t="shared" si="9"/>
        <v>0</v>
      </c>
      <c r="AP8" s="33"/>
      <c r="AQ8" s="7">
        <f t="shared" si="8"/>
        <v>23</v>
      </c>
      <c r="AR8" s="7">
        <f t="shared" si="5"/>
        <v>20</v>
      </c>
      <c r="AS8" s="7">
        <f t="shared" si="5"/>
        <v>18</v>
      </c>
      <c r="AT8" s="7">
        <f t="shared" si="10"/>
        <v>61</v>
      </c>
    </row>
    <row r="9" spans="1:46" x14ac:dyDescent="0.25">
      <c r="A9" s="5">
        <v>31</v>
      </c>
      <c r="B9" s="6">
        <v>44743</v>
      </c>
      <c r="C9" s="7">
        <v>52</v>
      </c>
      <c r="D9" s="7">
        <v>50</v>
      </c>
      <c r="E9" s="7">
        <v>48</v>
      </c>
      <c r="F9" s="7">
        <f t="shared" si="0"/>
        <v>150</v>
      </c>
      <c r="G9" s="35"/>
      <c r="H9" s="7">
        <v>9</v>
      </c>
      <c r="I9" s="7">
        <v>11</v>
      </c>
      <c r="J9" s="7">
        <v>7</v>
      </c>
      <c r="K9" s="7">
        <f t="shared" si="1"/>
        <v>27</v>
      </c>
      <c r="L9" s="33"/>
      <c r="M9" s="7">
        <v>9</v>
      </c>
      <c r="N9" s="7">
        <v>11</v>
      </c>
      <c r="O9" s="7">
        <v>7</v>
      </c>
      <c r="P9" s="7">
        <f t="shared" si="6"/>
        <v>27</v>
      </c>
      <c r="Q9" s="33"/>
      <c r="R9" s="7">
        <v>2</v>
      </c>
      <c r="S9" s="7">
        <v>1</v>
      </c>
      <c r="T9" s="7">
        <v>2</v>
      </c>
      <c r="U9" s="7">
        <f t="shared" si="2"/>
        <v>5</v>
      </c>
      <c r="V9" s="33"/>
      <c r="W9" s="7">
        <v>3</v>
      </c>
      <c r="X9" s="7">
        <v>6</v>
      </c>
      <c r="Y9" s="7">
        <v>2</v>
      </c>
      <c r="Z9" s="7">
        <f t="shared" si="3"/>
        <v>11</v>
      </c>
      <c r="AA9" s="33"/>
      <c r="AB9" s="7">
        <v>2</v>
      </c>
      <c r="AC9" s="7">
        <v>2</v>
      </c>
      <c r="AD9" s="7">
        <v>0</v>
      </c>
      <c r="AE9" s="7">
        <f t="shared" si="7"/>
        <v>4</v>
      </c>
      <c r="AF9" s="33"/>
      <c r="AG9" s="7">
        <v>0</v>
      </c>
      <c r="AH9" s="7">
        <v>0</v>
      </c>
      <c r="AI9" s="7">
        <v>2</v>
      </c>
      <c r="AJ9" s="7">
        <f t="shared" si="4"/>
        <v>2</v>
      </c>
      <c r="AK9" s="33"/>
      <c r="AL9" s="7">
        <v>0</v>
      </c>
      <c r="AM9" s="7">
        <v>0</v>
      </c>
      <c r="AN9" s="7">
        <v>0</v>
      </c>
      <c r="AO9" s="7">
        <f t="shared" si="9"/>
        <v>0</v>
      </c>
      <c r="AP9" s="33"/>
      <c r="AQ9" s="7">
        <f t="shared" si="8"/>
        <v>23</v>
      </c>
      <c r="AR9" s="7">
        <f t="shared" si="5"/>
        <v>29</v>
      </c>
      <c r="AS9" s="7">
        <f t="shared" si="5"/>
        <v>20</v>
      </c>
      <c r="AT9" s="7">
        <f t="shared" si="10"/>
        <v>72</v>
      </c>
    </row>
    <row r="10" spans="1:46" x14ac:dyDescent="0.25">
      <c r="A10" s="5">
        <v>31</v>
      </c>
      <c r="B10" s="6">
        <v>44774</v>
      </c>
      <c r="C10" s="7">
        <v>48</v>
      </c>
      <c r="D10" s="7">
        <v>57</v>
      </c>
      <c r="E10" s="7">
        <v>55</v>
      </c>
      <c r="F10" s="7">
        <f t="shared" si="0"/>
        <v>160</v>
      </c>
      <c r="G10" s="35"/>
      <c r="H10" s="7">
        <v>9</v>
      </c>
      <c r="I10" s="7">
        <v>11</v>
      </c>
      <c r="J10" s="7">
        <v>11</v>
      </c>
      <c r="K10" s="7">
        <f t="shared" si="1"/>
        <v>31</v>
      </c>
      <c r="L10" s="33"/>
      <c r="M10" s="7">
        <v>6</v>
      </c>
      <c r="N10" s="7">
        <v>12</v>
      </c>
      <c r="O10" s="7">
        <v>10</v>
      </c>
      <c r="P10" s="7">
        <f t="shared" si="6"/>
        <v>28</v>
      </c>
      <c r="Q10" s="33"/>
      <c r="R10" s="7">
        <v>2</v>
      </c>
      <c r="S10" s="7">
        <v>0</v>
      </c>
      <c r="T10" s="7">
        <v>2</v>
      </c>
      <c r="U10" s="7">
        <f t="shared" si="2"/>
        <v>4</v>
      </c>
      <c r="V10" s="33"/>
      <c r="W10" s="7">
        <v>3</v>
      </c>
      <c r="X10" s="7">
        <v>4</v>
      </c>
      <c r="Y10" s="7">
        <v>6</v>
      </c>
      <c r="Z10" s="7">
        <f t="shared" si="3"/>
        <v>13</v>
      </c>
      <c r="AA10" s="33"/>
      <c r="AB10" s="7">
        <v>1</v>
      </c>
      <c r="AC10" s="7">
        <v>2</v>
      </c>
      <c r="AD10" s="7">
        <v>0</v>
      </c>
      <c r="AE10" s="7">
        <f t="shared" si="7"/>
        <v>3</v>
      </c>
      <c r="AF10" s="33"/>
      <c r="AG10" s="7">
        <v>0</v>
      </c>
      <c r="AH10" s="7">
        <v>0</v>
      </c>
      <c r="AI10" s="7">
        <v>0</v>
      </c>
      <c r="AJ10" s="7">
        <f t="shared" si="4"/>
        <v>0</v>
      </c>
      <c r="AK10" s="33"/>
      <c r="AL10" s="7">
        <v>1</v>
      </c>
      <c r="AM10" s="7">
        <v>1</v>
      </c>
      <c r="AN10" s="7">
        <v>0</v>
      </c>
      <c r="AO10" s="7">
        <f t="shared" si="9"/>
        <v>2</v>
      </c>
      <c r="AP10" s="33"/>
      <c r="AQ10" s="7">
        <f t="shared" si="8"/>
        <v>21</v>
      </c>
      <c r="AR10" s="7">
        <f t="shared" si="5"/>
        <v>28</v>
      </c>
      <c r="AS10" s="7">
        <f t="shared" si="5"/>
        <v>29</v>
      </c>
      <c r="AT10" s="7">
        <f t="shared" si="10"/>
        <v>78</v>
      </c>
    </row>
    <row r="11" spans="1:46" x14ac:dyDescent="0.25">
      <c r="A11" s="5">
        <v>30</v>
      </c>
      <c r="B11" s="6">
        <v>44805</v>
      </c>
      <c r="C11" s="7">
        <v>57</v>
      </c>
      <c r="D11" s="7">
        <v>47</v>
      </c>
      <c r="E11" s="7">
        <v>46</v>
      </c>
      <c r="F11" s="7">
        <f t="shared" si="0"/>
        <v>150</v>
      </c>
      <c r="G11" s="35"/>
      <c r="H11" s="7">
        <v>13</v>
      </c>
      <c r="I11" s="7">
        <v>7</v>
      </c>
      <c r="J11" s="7">
        <v>6</v>
      </c>
      <c r="K11" s="7">
        <f t="shared" si="1"/>
        <v>26</v>
      </c>
      <c r="L11" s="33"/>
      <c r="M11" s="7">
        <v>10</v>
      </c>
      <c r="N11" s="7">
        <v>13</v>
      </c>
      <c r="O11" s="7">
        <v>7</v>
      </c>
      <c r="P11" s="7">
        <f t="shared" si="6"/>
        <v>30</v>
      </c>
      <c r="Q11" s="33"/>
      <c r="R11" s="7">
        <v>2</v>
      </c>
      <c r="S11" s="7">
        <v>1</v>
      </c>
      <c r="T11" s="7">
        <v>0</v>
      </c>
      <c r="U11" s="7">
        <f t="shared" si="2"/>
        <v>3</v>
      </c>
      <c r="V11" s="33"/>
      <c r="W11" s="7">
        <v>5</v>
      </c>
      <c r="X11" s="7">
        <v>5</v>
      </c>
      <c r="Y11" s="7">
        <v>5</v>
      </c>
      <c r="Z11" s="7">
        <f t="shared" si="3"/>
        <v>15</v>
      </c>
      <c r="AA11" s="33"/>
      <c r="AB11" s="7">
        <v>2</v>
      </c>
      <c r="AC11" s="7">
        <v>1</v>
      </c>
      <c r="AD11" s="7">
        <v>1</v>
      </c>
      <c r="AE11" s="7">
        <f t="shared" si="7"/>
        <v>4</v>
      </c>
      <c r="AF11" s="33"/>
      <c r="AG11" s="7">
        <v>0</v>
      </c>
      <c r="AH11" s="7">
        <v>2</v>
      </c>
      <c r="AI11" s="7">
        <v>0</v>
      </c>
      <c r="AJ11" s="7">
        <f t="shared" si="4"/>
        <v>2</v>
      </c>
      <c r="AK11" s="33"/>
      <c r="AL11" s="7">
        <v>0</v>
      </c>
      <c r="AM11" s="7">
        <v>0</v>
      </c>
      <c r="AN11" s="7">
        <v>0</v>
      </c>
      <c r="AO11" s="7">
        <f t="shared" si="9"/>
        <v>0</v>
      </c>
      <c r="AP11" s="33"/>
      <c r="AQ11" s="7">
        <f t="shared" si="8"/>
        <v>30</v>
      </c>
      <c r="AR11" s="7">
        <f t="shared" si="5"/>
        <v>28</v>
      </c>
      <c r="AS11" s="7">
        <f t="shared" si="5"/>
        <v>18</v>
      </c>
      <c r="AT11" s="7">
        <f t="shared" si="10"/>
        <v>76</v>
      </c>
    </row>
    <row r="12" spans="1:46" x14ac:dyDescent="0.25">
      <c r="A12" s="5">
        <v>31</v>
      </c>
      <c r="B12" s="6">
        <v>44835</v>
      </c>
      <c r="C12" s="7">
        <v>53</v>
      </c>
      <c r="D12" s="7">
        <v>44</v>
      </c>
      <c r="E12" s="7">
        <v>64</v>
      </c>
      <c r="F12" s="7">
        <f t="shared" si="0"/>
        <v>161</v>
      </c>
      <c r="G12" s="35"/>
      <c r="H12" s="7">
        <v>7</v>
      </c>
      <c r="I12" s="7">
        <v>8</v>
      </c>
      <c r="J12" s="7">
        <v>8</v>
      </c>
      <c r="K12" s="7">
        <f t="shared" si="1"/>
        <v>23</v>
      </c>
      <c r="L12" s="33"/>
      <c r="M12" s="7">
        <v>9</v>
      </c>
      <c r="N12" s="7">
        <v>17</v>
      </c>
      <c r="O12" s="7">
        <v>6</v>
      </c>
      <c r="P12" s="7">
        <f t="shared" si="6"/>
        <v>32</v>
      </c>
      <c r="Q12" s="33"/>
      <c r="R12" s="7">
        <v>1</v>
      </c>
      <c r="S12" s="7">
        <v>2</v>
      </c>
      <c r="T12" s="7">
        <v>3</v>
      </c>
      <c r="U12" s="7">
        <f t="shared" si="2"/>
        <v>6</v>
      </c>
      <c r="V12" s="33"/>
      <c r="W12" s="7">
        <v>7</v>
      </c>
      <c r="X12" s="7">
        <v>5</v>
      </c>
      <c r="Y12" s="7">
        <v>5</v>
      </c>
      <c r="Z12" s="7">
        <f t="shared" si="3"/>
        <v>17</v>
      </c>
      <c r="AA12" s="33"/>
      <c r="AB12" s="7">
        <v>2</v>
      </c>
      <c r="AC12" s="7">
        <v>1</v>
      </c>
      <c r="AD12" s="7">
        <v>1</v>
      </c>
      <c r="AE12" s="7">
        <f t="shared" si="7"/>
        <v>4</v>
      </c>
      <c r="AF12" s="33"/>
      <c r="AG12" s="7">
        <v>1</v>
      </c>
      <c r="AH12" s="7">
        <v>1</v>
      </c>
      <c r="AI12" s="7">
        <v>2</v>
      </c>
      <c r="AJ12" s="7">
        <f t="shared" si="4"/>
        <v>4</v>
      </c>
      <c r="AK12" s="33"/>
      <c r="AL12" s="7">
        <v>0</v>
      </c>
      <c r="AM12" s="7">
        <v>0</v>
      </c>
      <c r="AN12" s="7">
        <v>0</v>
      </c>
      <c r="AO12" s="7">
        <f t="shared" si="9"/>
        <v>0</v>
      </c>
      <c r="AP12" s="33"/>
      <c r="AQ12" s="7">
        <f t="shared" si="8"/>
        <v>25</v>
      </c>
      <c r="AR12" s="7">
        <f t="shared" si="5"/>
        <v>33</v>
      </c>
      <c r="AS12" s="7">
        <f t="shared" si="5"/>
        <v>24</v>
      </c>
      <c r="AT12" s="7">
        <f t="shared" si="10"/>
        <v>82</v>
      </c>
    </row>
    <row r="13" spans="1:46" x14ac:dyDescent="0.25">
      <c r="A13" s="5">
        <v>30</v>
      </c>
      <c r="B13" s="6">
        <v>44866</v>
      </c>
      <c r="C13" s="7">
        <v>43</v>
      </c>
      <c r="D13" s="7">
        <v>48</v>
      </c>
      <c r="E13" s="7">
        <v>59</v>
      </c>
      <c r="F13" s="7">
        <f t="shared" si="0"/>
        <v>150</v>
      </c>
      <c r="G13" s="35"/>
      <c r="H13" s="7">
        <v>7</v>
      </c>
      <c r="I13" s="7">
        <v>14</v>
      </c>
      <c r="J13" s="7">
        <v>5</v>
      </c>
      <c r="K13" s="7">
        <f t="shared" si="1"/>
        <v>26</v>
      </c>
      <c r="L13" s="33"/>
      <c r="M13" s="7">
        <v>7</v>
      </c>
      <c r="N13" s="7">
        <v>19</v>
      </c>
      <c r="O13" s="7">
        <v>8</v>
      </c>
      <c r="P13" s="7">
        <f t="shared" si="6"/>
        <v>34</v>
      </c>
      <c r="Q13" s="33"/>
      <c r="R13" s="7">
        <v>0</v>
      </c>
      <c r="S13" s="7">
        <v>2</v>
      </c>
      <c r="T13" s="7">
        <v>2</v>
      </c>
      <c r="U13" s="7">
        <f t="shared" si="2"/>
        <v>4</v>
      </c>
      <c r="V13" s="33"/>
      <c r="W13" s="7">
        <v>6</v>
      </c>
      <c r="X13" s="7">
        <v>6</v>
      </c>
      <c r="Y13" s="7">
        <v>4</v>
      </c>
      <c r="Z13" s="7">
        <f t="shared" si="3"/>
        <v>16</v>
      </c>
      <c r="AA13" s="33"/>
      <c r="AB13" s="7">
        <v>2</v>
      </c>
      <c r="AC13" s="7">
        <v>3</v>
      </c>
      <c r="AD13" s="7">
        <v>1</v>
      </c>
      <c r="AE13" s="7">
        <f t="shared" si="7"/>
        <v>6</v>
      </c>
      <c r="AF13" s="33"/>
      <c r="AG13" s="7">
        <v>3</v>
      </c>
      <c r="AH13" s="7">
        <v>0</v>
      </c>
      <c r="AI13" s="7">
        <v>0</v>
      </c>
      <c r="AJ13" s="7">
        <f t="shared" si="4"/>
        <v>3</v>
      </c>
      <c r="AK13" s="33"/>
      <c r="AL13" s="7">
        <v>0</v>
      </c>
      <c r="AM13" s="7">
        <v>0</v>
      </c>
      <c r="AN13" s="7">
        <v>1</v>
      </c>
      <c r="AO13" s="7">
        <f t="shared" si="9"/>
        <v>1</v>
      </c>
      <c r="AP13" s="33"/>
      <c r="AQ13" s="7">
        <f t="shared" si="8"/>
        <v>23</v>
      </c>
      <c r="AR13" s="7">
        <f t="shared" si="5"/>
        <v>41</v>
      </c>
      <c r="AS13" s="7">
        <f t="shared" si="5"/>
        <v>20</v>
      </c>
      <c r="AT13" s="7">
        <f t="shared" si="10"/>
        <v>84</v>
      </c>
    </row>
    <row r="14" spans="1:46" x14ac:dyDescent="0.25">
      <c r="A14" s="5">
        <v>31</v>
      </c>
      <c r="B14" s="6">
        <v>44896</v>
      </c>
      <c r="C14" s="7">
        <v>42</v>
      </c>
      <c r="D14" s="7">
        <v>43</v>
      </c>
      <c r="E14" s="7">
        <v>57</v>
      </c>
      <c r="F14" s="7">
        <f t="shared" si="0"/>
        <v>142</v>
      </c>
      <c r="G14" s="36"/>
      <c r="H14" s="7">
        <v>9</v>
      </c>
      <c r="I14" s="7">
        <v>5</v>
      </c>
      <c r="J14" s="7">
        <v>12</v>
      </c>
      <c r="K14" s="7">
        <f t="shared" si="1"/>
        <v>26</v>
      </c>
      <c r="L14" s="34"/>
      <c r="M14" s="7">
        <v>13</v>
      </c>
      <c r="N14" s="7">
        <v>8</v>
      </c>
      <c r="O14" s="7">
        <v>5</v>
      </c>
      <c r="P14" s="7">
        <f t="shared" si="6"/>
        <v>26</v>
      </c>
      <c r="Q14" s="34"/>
      <c r="R14" s="7">
        <v>0</v>
      </c>
      <c r="S14" s="7">
        <v>1</v>
      </c>
      <c r="T14" s="7">
        <v>0</v>
      </c>
      <c r="U14" s="7">
        <f t="shared" si="2"/>
        <v>1</v>
      </c>
      <c r="V14" s="34"/>
      <c r="W14" s="7">
        <v>6</v>
      </c>
      <c r="X14" s="7">
        <v>6</v>
      </c>
      <c r="Y14" s="7">
        <v>5</v>
      </c>
      <c r="Z14" s="7">
        <f t="shared" si="3"/>
        <v>17</v>
      </c>
      <c r="AA14" s="34"/>
      <c r="AB14" s="7">
        <v>2</v>
      </c>
      <c r="AC14" s="7">
        <v>2</v>
      </c>
      <c r="AD14" s="7">
        <v>2</v>
      </c>
      <c r="AE14" s="7">
        <f t="shared" si="7"/>
        <v>6</v>
      </c>
      <c r="AF14" s="34"/>
      <c r="AG14" s="7">
        <v>0</v>
      </c>
      <c r="AH14" s="7">
        <v>0</v>
      </c>
      <c r="AI14" s="7">
        <v>2</v>
      </c>
      <c r="AJ14" s="7">
        <f t="shared" si="4"/>
        <v>2</v>
      </c>
      <c r="AK14" s="34"/>
      <c r="AL14" s="7">
        <v>0</v>
      </c>
      <c r="AM14" s="7">
        <v>0</v>
      </c>
      <c r="AN14" s="7">
        <v>1</v>
      </c>
      <c r="AO14" s="7">
        <f t="shared" si="9"/>
        <v>1</v>
      </c>
      <c r="AP14" s="34"/>
      <c r="AQ14" s="7">
        <f t="shared" si="8"/>
        <v>28</v>
      </c>
      <c r="AR14" s="7">
        <f t="shared" si="5"/>
        <v>20</v>
      </c>
      <c r="AS14" s="7">
        <f t="shared" si="5"/>
        <v>25</v>
      </c>
      <c r="AT14" s="7">
        <f t="shared" si="10"/>
        <v>73</v>
      </c>
    </row>
    <row r="15" spans="1:46" x14ac:dyDescent="0.25">
      <c r="B15" s="8"/>
      <c r="C15" s="9">
        <f>AVERAGE(C3:C14)</f>
        <v>45.75</v>
      </c>
      <c r="D15" s="9">
        <f t="shared" ref="D15:E15" si="11">AVERAGE(D3:D14)</f>
        <v>45.416666666666664</v>
      </c>
      <c r="E15" s="9">
        <f t="shared" si="11"/>
        <v>48.833333333333336</v>
      </c>
      <c r="F15" s="9">
        <f>AVERAGE(F4:F14)</f>
        <v>141.63636363636363</v>
      </c>
      <c r="G15" s="9"/>
      <c r="H15" s="9">
        <f>AVERAGE(H3:H14)</f>
        <v>9.5833333333333339</v>
      </c>
      <c r="I15" s="9">
        <f t="shared" ref="I15:J15" si="12">AVERAGE(I3:I14)</f>
        <v>9.5</v>
      </c>
      <c r="J15" s="9">
        <f t="shared" si="12"/>
        <v>8.6666666666666661</v>
      </c>
      <c r="K15" s="9">
        <f>AVERAGE(K4:K14)</f>
        <v>27.818181818181817</v>
      </c>
      <c r="L15" s="9"/>
      <c r="M15" s="9">
        <f t="shared" ref="M15:P15" si="13">AVERAGE(M3:M14)</f>
        <v>6.5</v>
      </c>
      <c r="N15" s="9">
        <f t="shared" si="13"/>
        <v>11.416666666666666</v>
      </c>
      <c r="O15" s="9">
        <f t="shared" si="13"/>
        <v>5.916666666666667</v>
      </c>
      <c r="P15" s="9">
        <f t="shared" si="13"/>
        <v>23.833333333333332</v>
      </c>
      <c r="Q15" s="9"/>
      <c r="R15" s="9">
        <f>AVERAGE(R3:R14)</f>
        <v>1.5</v>
      </c>
      <c r="S15" s="9">
        <f t="shared" ref="S15:T15" si="14">AVERAGE(S3:S14)</f>
        <v>1</v>
      </c>
      <c r="T15" s="9">
        <f t="shared" si="14"/>
        <v>1.3333333333333333</v>
      </c>
      <c r="U15" s="9">
        <f>AVERAGE(U4:U14)</f>
        <v>3.9090909090909092</v>
      </c>
      <c r="V15" s="9"/>
      <c r="W15" s="9">
        <f>AVERAGE(W3:W14)</f>
        <v>4.583333333333333</v>
      </c>
      <c r="X15" s="9">
        <f t="shared" ref="X15:Y15" si="15">AVERAGE(X3:X14)</f>
        <v>4.416666666666667</v>
      </c>
      <c r="Y15" s="9">
        <f t="shared" si="15"/>
        <v>3.75</v>
      </c>
      <c r="Z15" s="9">
        <f>AVERAGE(Z4:Z14)</f>
        <v>13.181818181818182</v>
      </c>
      <c r="AA15" s="9"/>
      <c r="AB15" s="9">
        <f t="shared" ref="AB15:AD15" si="16">AVERAGE(AB3:AB14)</f>
        <v>1.3333333333333333</v>
      </c>
      <c r="AC15" s="9">
        <f t="shared" si="16"/>
        <v>1.4166666666666667</v>
      </c>
      <c r="AD15" s="9">
        <f t="shared" si="16"/>
        <v>1.1666666666666667</v>
      </c>
      <c r="AE15" s="8">
        <f t="shared" si="7"/>
        <v>3.916666666666667</v>
      </c>
      <c r="AF15" s="9"/>
      <c r="AG15" s="9">
        <f>AVERAGE(AG3:AG14)</f>
        <v>1.3333333333333333</v>
      </c>
      <c r="AH15" s="9">
        <f t="shared" ref="AH15:AI15" si="17">AVERAGE(AH3:AH14)</f>
        <v>1.25</v>
      </c>
      <c r="AI15" s="9">
        <f t="shared" si="17"/>
        <v>1.3333333333333333</v>
      </c>
      <c r="AJ15" s="9">
        <f>AVERAGE(AJ4:AJ14)</f>
        <v>3.5454545454545454</v>
      </c>
      <c r="AK15" s="9"/>
      <c r="AL15" s="9">
        <f>AVERAGE(AL3:AL14)</f>
        <v>0.16666666666666666</v>
      </c>
      <c r="AM15" s="9">
        <f>AVERAGE(AM3:AM14)</f>
        <v>0.16666666666666666</v>
      </c>
      <c r="AN15" s="9">
        <f>AVERAGE(AN3:AN14)</f>
        <v>0.33333333333333331</v>
      </c>
      <c r="AO15" s="9">
        <f>AVERAGE(AO4:AO14)</f>
        <v>0.72727272727272729</v>
      </c>
      <c r="AP15" s="9"/>
      <c r="AQ15" s="9">
        <f>AVERAGE(AQ3:AQ14)</f>
        <v>23.666666666666668</v>
      </c>
      <c r="AR15" s="9">
        <f>AVERAGE(AR3:AR14)</f>
        <v>27.75</v>
      </c>
      <c r="AS15" s="9">
        <f>AVERAGE(AS3:AS14)</f>
        <v>21.333333333333332</v>
      </c>
      <c r="AT15" s="9">
        <f>AVERAGE(AT4:AT14)</f>
        <v>73.181818181818187</v>
      </c>
    </row>
  </sheetData>
  <mergeCells count="18">
    <mergeCell ref="AL1:AO1"/>
    <mergeCell ref="AP1:AP14"/>
    <mergeCell ref="AQ1:AT1"/>
    <mergeCell ref="AA1:AA14"/>
    <mergeCell ref="AB1:AE1"/>
    <mergeCell ref="AF1:AF14"/>
    <mergeCell ref="AG1:AJ1"/>
    <mergeCell ref="AK1:AK14"/>
    <mergeCell ref="G1:G14"/>
    <mergeCell ref="C1:F1"/>
    <mergeCell ref="R1:U1"/>
    <mergeCell ref="A1:B1"/>
    <mergeCell ref="H1:K1"/>
    <mergeCell ref="W1:Z1"/>
    <mergeCell ref="M1:P1"/>
    <mergeCell ref="L1:L14"/>
    <mergeCell ref="Q1:Q14"/>
    <mergeCell ref="V1:V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6204-FF55-4CFC-9031-15621D95DF41}">
  <dimension ref="A1:AT15"/>
  <sheetViews>
    <sheetView workbookViewId="0">
      <selection sqref="A1:B1"/>
    </sheetView>
  </sheetViews>
  <sheetFormatPr defaultRowHeight="15" x14ac:dyDescent="0.25"/>
  <sheetData>
    <row r="1" spans="1:46" x14ac:dyDescent="0.25">
      <c r="A1" s="30"/>
      <c r="B1" s="31"/>
      <c r="C1" s="37" t="s">
        <v>1</v>
      </c>
      <c r="D1" s="38"/>
      <c r="E1" s="38"/>
      <c r="F1" s="38"/>
      <c r="G1" s="35"/>
      <c r="H1" s="27" t="s">
        <v>2</v>
      </c>
      <c r="I1" s="28"/>
      <c r="J1" s="28"/>
      <c r="K1" s="29"/>
      <c r="L1" s="32"/>
      <c r="M1" s="27" t="s">
        <v>12</v>
      </c>
      <c r="N1" s="28"/>
      <c r="O1" s="28"/>
      <c r="P1" s="29"/>
      <c r="Q1" s="32"/>
      <c r="R1" s="27" t="s">
        <v>13</v>
      </c>
      <c r="S1" s="28"/>
      <c r="T1" s="28"/>
      <c r="U1" s="29"/>
      <c r="V1" s="33"/>
      <c r="W1" s="27" t="s">
        <v>3</v>
      </c>
      <c r="X1" s="28"/>
      <c r="Y1" s="28"/>
      <c r="Z1" s="29"/>
      <c r="AA1" s="32"/>
      <c r="AB1" s="27" t="s">
        <v>11</v>
      </c>
      <c r="AC1" s="28"/>
      <c r="AD1" s="28"/>
      <c r="AE1" s="28"/>
      <c r="AF1" s="32"/>
      <c r="AG1" s="27" t="s">
        <v>4</v>
      </c>
      <c r="AH1" s="28"/>
      <c r="AI1" s="28"/>
      <c r="AJ1" s="28"/>
      <c r="AK1" s="32"/>
      <c r="AL1" s="27" t="s">
        <v>14</v>
      </c>
      <c r="AM1" s="28"/>
      <c r="AN1" s="28"/>
      <c r="AO1" s="28"/>
      <c r="AP1" s="32"/>
      <c r="AQ1" s="27" t="s">
        <v>15</v>
      </c>
      <c r="AR1" s="28"/>
      <c r="AS1" s="28"/>
      <c r="AT1" s="28"/>
    </row>
    <row r="2" spans="1:46" x14ac:dyDescent="0.25">
      <c r="A2" s="2" t="s">
        <v>5</v>
      </c>
      <c r="B2" s="2" t="s">
        <v>6</v>
      </c>
      <c r="C2" s="3" t="s">
        <v>7</v>
      </c>
      <c r="D2" s="3" t="s">
        <v>8</v>
      </c>
      <c r="E2" s="3" t="s">
        <v>9</v>
      </c>
      <c r="F2" s="4" t="s">
        <v>10</v>
      </c>
      <c r="G2" s="35"/>
      <c r="H2" s="3" t="s">
        <v>7</v>
      </c>
      <c r="I2" s="3" t="s">
        <v>8</v>
      </c>
      <c r="J2" s="3" t="s">
        <v>9</v>
      </c>
      <c r="K2" s="4" t="s">
        <v>10</v>
      </c>
      <c r="L2" s="33"/>
      <c r="M2" s="3" t="s">
        <v>7</v>
      </c>
      <c r="N2" s="3" t="s">
        <v>8</v>
      </c>
      <c r="O2" s="3" t="s">
        <v>9</v>
      </c>
      <c r="P2" s="4" t="s">
        <v>10</v>
      </c>
      <c r="Q2" s="33"/>
      <c r="R2" s="3" t="s">
        <v>7</v>
      </c>
      <c r="S2" s="3" t="s">
        <v>8</v>
      </c>
      <c r="T2" s="3" t="s">
        <v>9</v>
      </c>
      <c r="U2" s="4" t="s">
        <v>10</v>
      </c>
      <c r="V2" s="33"/>
      <c r="W2" s="3" t="s">
        <v>7</v>
      </c>
      <c r="X2" s="3" t="s">
        <v>8</v>
      </c>
      <c r="Y2" s="3" t="s">
        <v>9</v>
      </c>
      <c r="Z2" s="4" t="s">
        <v>10</v>
      </c>
      <c r="AA2" s="33"/>
      <c r="AB2" s="3" t="s">
        <v>7</v>
      </c>
      <c r="AC2" s="3" t="s">
        <v>8</v>
      </c>
      <c r="AD2" s="3" t="s">
        <v>9</v>
      </c>
      <c r="AE2" s="4" t="s">
        <v>10</v>
      </c>
      <c r="AF2" s="33"/>
      <c r="AG2" s="3" t="s">
        <v>7</v>
      </c>
      <c r="AH2" s="3" t="s">
        <v>8</v>
      </c>
      <c r="AI2" s="3" t="s">
        <v>9</v>
      </c>
      <c r="AJ2" s="4" t="s">
        <v>10</v>
      </c>
      <c r="AK2" s="33"/>
      <c r="AL2" s="3" t="s">
        <v>16</v>
      </c>
      <c r="AM2" s="3" t="s">
        <v>17</v>
      </c>
      <c r="AN2" s="3" t="s">
        <v>9</v>
      </c>
      <c r="AO2" s="4" t="s">
        <v>10</v>
      </c>
      <c r="AP2" s="33"/>
      <c r="AQ2" s="3" t="s">
        <v>16</v>
      </c>
      <c r="AR2" s="3" t="s">
        <v>17</v>
      </c>
      <c r="AS2" s="3" t="s">
        <v>9</v>
      </c>
      <c r="AT2" s="4" t="s">
        <v>10</v>
      </c>
    </row>
    <row r="3" spans="1:46" x14ac:dyDescent="0.25">
      <c r="A3" s="5">
        <v>31</v>
      </c>
      <c r="B3" s="6">
        <v>44927</v>
      </c>
      <c r="C3" s="7">
        <v>42</v>
      </c>
      <c r="D3" s="7">
        <v>44</v>
      </c>
      <c r="E3" s="7">
        <v>56</v>
      </c>
      <c r="F3" s="7">
        <f t="shared" ref="F3:F14" si="0">C3+D3+E3</f>
        <v>142</v>
      </c>
      <c r="G3" s="35"/>
      <c r="H3" s="7">
        <v>10</v>
      </c>
      <c r="I3" s="7">
        <v>7</v>
      </c>
      <c r="J3" s="7">
        <v>10</v>
      </c>
      <c r="K3" s="7">
        <f t="shared" ref="K3:K14" si="1">H3+J3+I3</f>
        <v>27</v>
      </c>
      <c r="L3" s="33"/>
      <c r="M3" s="7">
        <v>13</v>
      </c>
      <c r="N3" s="7">
        <v>14</v>
      </c>
      <c r="O3" s="7">
        <v>8</v>
      </c>
      <c r="P3" s="7">
        <f>M3+N3+O3</f>
        <v>35</v>
      </c>
      <c r="Q3" s="33"/>
      <c r="R3" s="7">
        <v>1</v>
      </c>
      <c r="S3" s="7">
        <v>0</v>
      </c>
      <c r="T3" s="7">
        <v>1</v>
      </c>
      <c r="U3" s="7">
        <f t="shared" ref="U3:U14" si="2">R3+S3+T3</f>
        <v>2</v>
      </c>
      <c r="V3" s="33"/>
      <c r="W3" s="7">
        <v>5</v>
      </c>
      <c r="X3" s="7">
        <v>8</v>
      </c>
      <c r="Y3" s="7">
        <v>6</v>
      </c>
      <c r="Z3" s="7">
        <f t="shared" ref="Z3:Z14" si="3">W3+X3+Y3</f>
        <v>19</v>
      </c>
      <c r="AA3" s="33"/>
      <c r="AB3" s="7">
        <v>1</v>
      </c>
      <c r="AC3" s="7">
        <v>1</v>
      </c>
      <c r="AD3" s="7">
        <v>4</v>
      </c>
      <c r="AE3" s="7">
        <f>AB3+AC3+AD3</f>
        <v>6</v>
      </c>
      <c r="AF3" s="33"/>
      <c r="AG3" s="7">
        <v>0</v>
      </c>
      <c r="AH3" s="7">
        <v>0</v>
      </c>
      <c r="AI3" s="7">
        <v>1</v>
      </c>
      <c r="AJ3" s="7">
        <f t="shared" ref="AJ3:AJ14" si="4">AG3+AH3+AI3</f>
        <v>1</v>
      </c>
      <c r="AK3" s="33"/>
      <c r="AL3" s="7">
        <v>0</v>
      </c>
      <c r="AM3" s="7">
        <v>0</v>
      </c>
      <c r="AN3" s="7">
        <v>0</v>
      </c>
      <c r="AO3" s="7">
        <f>AL3+AM3+AN3</f>
        <v>0</v>
      </c>
      <c r="AP3" s="33"/>
      <c r="AQ3" s="7">
        <f>H3+M3+R3+W3+AG3+AL3</f>
        <v>29</v>
      </c>
      <c r="AR3" s="7">
        <f t="shared" ref="AR3:AS14" si="5">I3+N3+S3+X3+AH3+AM3</f>
        <v>29</v>
      </c>
      <c r="AS3" s="7">
        <f t="shared" si="5"/>
        <v>26</v>
      </c>
      <c r="AT3" s="7">
        <f>AQ3+AR3+AS3</f>
        <v>84</v>
      </c>
    </row>
    <row r="4" spans="1:46" x14ac:dyDescent="0.25">
      <c r="A4" s="5">
        <v>28</v>
      </c>
      <c r="B4" s="6">
        <v>44958</v>
      </c>
      <c r="C4" s="7">
        <v>51</v>
      </c>
      <c r="D4" s="7">
        <v>43</v>
      </c>
      <c r="E4" s="7">
        <v>48</v>
      </c>
      <c r="F4" s="7">
        <f t="shared" si="0"/>
        <v>142</v>
      </c>
      <c r="G4" s="35"/>
      <c r="H4" s="7">
        <v>11</v>
      </c>
      <c r="I4" s="7">
        <v>12</v>
      </c>
      <c r="J4" s="7">
        <v>5</v>
      </c>
      <c r="K4" s="7">
        <f t="shared" si="1"/>
        <v>28</v>
      </c>
      <c r="L4" s="33"/>
      <c r="M4" s="7">
        <v>10</v>
      </c>
      <c r="N4" s="7">
        <v>17</v>
      </c>
      <c r="O4" s="7">
        <v>8</v>
      </c>
      <c r="P4" s="7">
        <f t="shared" ref="P4:P14" si="6">M4+N4+O4</f>
        <v>35</v>
      </c>
      <c r="Q4" s="33"/>
      <c r="R4" s="7">
        <v>2</v>
      </c>
      <c r="S4" s="7">
        <v>1</v>
      </c>
      <c r="T4" s="7">
        <v>0</v>
      </c>
      <c r="U4" s="7">
        <f t="shared" si="2"/>
        <v>3</v>
      </c>
      <c r="V4" s="33"/>
      <c r="W4" s="7">
        <v>7</v>
      </c>
      <c r="X4" s="7">
        <v>6</v>
      </c>
      <c r="Y4" s="7">
        <v>4</v>
      </c>
      <c r="Z4" s="7">
        <f t="shared" si="3"/>
        <v>17</v>
      </c>
      <c r="AA4" s="33"/>
      <c r="AB4" s="7">
        <v>1</v>
      </c>
      <c r="AC4" s="7">
        <v>2</v>
      </c>
      <c r="AD4" s="7">
        <v>0</v>
      </c>
      <c r="AE4" s="7">
        <f t="shared" ref="AE4:AE15" si="7">AB4+AC4+AD4</f>
        <v>3</v>
      </c>
      <c r="AF4" s="33"/>
      <c r="AG4" s="7">
        <v>0</v>
      </c>
      <c r="AH4" s="7">
        <v>0</v>
      </c>
      <c r="AI4" s="7">
        <v>0</v>
      </c>
      <c r="AJ4" s="7">
        <f t="shared" si="4"/>
        <v>0</v>
      </c>
      <c r="AK4" s="33"/>
      <c r="AL4" s="10">
        <v>1</v>
      </c>
      <c r="AM4" s="7">
        <v>1</v>
      </c>
      <c r="AN4" s="7">
        <v>1</v>
      </c>
      <c r="AO4" s="7">
        <f>AL3+AM4+AN4</f>
        <v>2</v>
      </c>
      <c r="AP4" s="33"/>
      <c r="AQ4" s="7">
        <f t="shared" ref="AQ4:AQ14" si="8">H4+M4+R4+W4+AG4+AL4</f>
        <v>31</v>
      </c>
      <c r="AR4" s="7">
        <f t="shared" si="5"/>
        <v>37</v>
      </c>
      <c r="AS4" s="7">
        <f t="shared" si="5"/>
        <v>18</v>
      </c>
      <c r="AT4" s="7">
        <f>AQ3+AR4+AS4</f>
        <v>84</v>
      </c>
    </row>
    <row r="5" spans="1:46" x14ac:dyDescent="0.25">
      <c r="A5" s="5">
        <v>31</v>
      </c>
      <c r="B5" s="6">
        <v>44986</v>
      </c>
      <c r="C5" s="7">
        <v>46</v>
      </c>
      <c r="D5" s="7">
        <v>46</v>
      </c>
      <c r="E5" s="7">
        <v>55</v>
      </c>
      <c r="F5" s="7">
        <f t="shared" si="0"/>
        <v>147</v>
      </c>
      <c r="G5" s="35"/>
      <c r="H5" s="7">
        <v>6</v>
      </c>
      <c r="I5" s="7">
        <v>11</v>
      </c>
      <c r="J5" s="7">
        <v>7</v>
      </c>
      <c r="K5" s="7">
        <f t="shared" si="1"/>
        <v>24</v>
      </c>
      <c r="L5" s="33"/>
      <c r="M5" s="7">
        <v>17</v>
      </c>
      <c r="N5" s="7">
        <v>13</v>
      </c>
      <c r="O5" s="7">
        <v>11</v>
      </c>
      <c r="P5" s="7">
        <f t="shared" si="6"/>
        <v>41</v>
      </c>
      <c r="Q5" s="33"/>
      <c r="R5" s="7">
        <v>4</v>
      </c>
      <c r="S5" s="7">
        <v>0</v>
      </c>
      <c r="T5" s="7">
        <v>4</v>
      </c>
      <c r="U5" s="7">
        <f t="shared" si="2"/>
        <v>8</v>
      </c>
      <c r="V5" s="33"/>
      <c r="W5" s="7">
        <v>3</v>
      </c>
      <c r="X5" s="7">
        <v>4</v>
      </c>
      <c r="Y5" s="7">
        <v>8</v>
      </c>
      <c r="Z5" s="7">
        <f t="shared" si="3"/>
        <v>15</v>
      </c>
      <c r="AA5" s="33"/>
      <c r="AB5" s="7">
        <v>1</v>
      </c>
      <c r="AC5" s="7">
        <v>2</v>
      </c>
      <c r="AD5" s="7">
        <v>1</v>
      </c>
      <c r="AE5" s="7">
        <f t="shared" si="7"/>
        <v>4</v>
      </c>
      <c r="AF5" s="33"/>
      <c r="AG5" s="7">
        <v>0</v>
      </c>
      <c r="AH5" s="7">
        <v>0</v>
      </c>
      <c r="AI5" s="7">
        <v>1</v>
      </c>
      <c r="AJ5" s="7">
        <f t="shared" si="4"/>
        <v>1</v>
      </c>
      <c r="AK5" s="33"/>
      <c r="AL5" s="7">
        <v>1</v>
      </c>
      <c r="AM5" s="7">
        <v>0</v>
      </c>
      <c r="AN5" s="7">
        <v>0</v>
      </c>
      <c r="AO5" s="7">
        <f t="shared" ref="AO5:AO14" si="9">AL5+AM5+AN5</f>
        <v>1</v>
      </c>
      <c r="AP5" s="33"/>
      <c r="AQ5" s="7">
        <f t="shared" si="8"/>
        <v>31</v>
      </c>
      <c r="AR5" s="7">
        <f t="shared" si="5"/>
        <v>28</v>
      </c>
      <c r="AS5" s="7">
        <f t="shared" si="5"/>
        <v>31</v>
      </c>
      <c r="AT5" s="7">
        <f t="shared" ref="AT5:AT14" si="10">AQ5+AR5+AS5</f>
        <v>90</v>
      </c>
    </row>
    <row r="6" spans="1:46" x14ac:dyDescent="0.25">
      <c r="A6" s="5">
        <v>30</v>
      </c>
      <c r="B6" s="6">
        <v>45017</v>
      </c>
      <c r="C6" s="7">
        <v>46</v>
      </c>
      <c r="D6" s="7">
        <v>41</v>
      </c>
      <c r="E6" s="7">
        <v>57</v>
      </c>
      <c r="F6" s="7">
        <f t="shared" si="0"/>
        <v>144</v>
      </c>
      <c r="G6" s="35"/>
      <c r="H6" s="7">
        <v>7</v>
      </c>
      <c r="I6" s="7">
        <v>7</v>
      </c>
      <c r="J6" s="7">
        <v>8</v>
      </c>
      <c r="K6" s="7">
        <f t="shared" si="1"/>
        <v>22</v>
      </c>
      <c r="L6" s="33"/>
      <c r="M6" s="7">
        <v>15</v>
      </c>
      <c r="N6" s="7">
        <v>21</v>
      </c>
      <c r="O6" s="7">
        <v>11</v>
      </c>
      <c r="P6" s="7">
        <f t="shared" si="6"/>
        <v>47</v>
      </c>
      <c r="Q6" s="33"/>
      <c r="R6" s="7">
        <v>2</v>
      </c>
      <c r="S6" s="7">
        <v>1</v>
      </c>
      <c r="T6" s="7">
        <v>1</v>
      </c>
      <c r="U6" s="7">
        <f t="shared" si="2"/>
        <v>4</v>
      </c>
      <c r="V6" s="33"/>
      <c r="W6" s="7">
        <v>7</v>
      </c>
      <c r="X6" s="7">
        <v>6</v>
      </c>
      <c r="Y6" s="7">
        <v>4</v>
      </c>
      <c r="Z6" s="7">
        <f t="shared" si="3"/>
        <v>17</v>
      </c>
      <c r="AA6" s="33"/>
      <c r="AB6" s="7">
        <v>4</v>
      </c>
      <c r="AC6" s="7">
        <v>1</v>
      </c>
      <c r="AD6" s="7">
        <v>1</v>
      </c>
      <c r="AE6" s="7">
        <f t="shared" si="7"/>
        <v>6</v>
      </c>
      <c r="AF6" s="33"/>
      <c r="AG6" s="7">
        <v>0</v>
      </c>
      <c r="AH6" s="7">
        <v>0</v>
      </c>
      <c r="AI6" s="7">
        <v>0</v>
      </c>
      <c r="AJ6" s="7">
        <f t="shared" si="4"/>
        <v>0</v>
      </c>
      <c r="AK6" s="33"/>
      <c r="AL6" s="7">
        <v>1</v>
      </c>
      <c r="AM6" s="7">
        <v>0</v>
      </c>
      <c r="AN6" s="7">
        <v>0</v>
      </c>
      <c r="AO6" s="7">
        <f t="shared" si="9"/>
        <v>1</v>
      </c>
      <c r="AP6" s="33"/>
      <c r="AQ6" s="7">
        <f t="shared" si="8"/>
        <v>32</v>
      </c>
      <c r="AR6" s="7">
        <f t="shared" si="5"/>
        <v>35</v>
      </c>
      <c r="AS6" s="7">
        <f t="shared" si="5"/>
        <v>24</v>
      </c>
      <c r="AT6" s="7">
        <f t="shared" si="10"/>
        <v>91</v>
      </c>
    </row>
    <row r="7" spans="1:46" x14ac:dyDescent="0.25">
      <c r="A7" s="5">
        <v>31</v>
      </c>
      <c r="B7" s="6">
        <v>45047</v>
      </c>
      <c r="C7" s="7">
        <v>46</v>
      </c>
      <c r="D7" s="7">
        <v>32</v>
      </c>
      <c r="E7" s="7">
        <v>58</v>
      </c>
      <c r="F7" s="7">
        <f t="shared" si="0"/>
        <v>136</v>
      </c>
      <c r="G7" s="35"/>
      <c r="H7" s="7">
        <v>7</v>
      </c>
      <c r="I7" s="7">
        <v>7</v>
      </c>
      <c r="J7" s="7">
        <v>9</v>
      </c>
      <c r="K7" s="7">
        <f t="shared" si="1"/>
        <v>23</v>
      </c>
      <c r="L7" s="33"/>
      <c r="M7" s="7">
        <v>10</v>
      </c>
      <c r="N7" s="7">
        <v>10</v>
      </c>
      <c r="O7" s="7">
        <v>11</v>
      </c>
      <c r="P7" s="7">
        <f t="shared" si="6"/>
        <v>31</v>
      </c>
      <c r="Q7" s="33"/>
      <c r="R7" s="7">
        <v>0</v>
      </c>
      <c r="S7" s="7">
        <v>0</v>
      </c>
      <c r="T7" s="7">
        <v>0</v>
      </c>
      <c r="U7" s="7">
        <f t="shared" si="2"/>
        <v>0</v>
      </c>
      <c r="V7" s="33"/>
      <c r="W7" s="7">
        <v>10</v>
      </c>
      <c r="X7" s="7">
        <v>4</v>
      </c>
      <c r="Y7" s="7">
        <v>4</v>
      </c>
      <c r="Z7" s="7">
        <f t="shared" si="3"/>
        <v>18</v>
      </c>
      <c r="AA7" s="33"/>
      <c r="AB7" s="7">
        <v>2</v>
      </c>
      <c r="AC7" s="7">
        <v>4</v>
      </c>
      <c r="AD7" s="7">
        <v>1</v>
      </c>
      <c r="AE7" s="7">
        <f t="shared" si="7"/>
        <v>7</v>
      </c>
      <c r="AF7" s="33"/>
      <c r="AG7" s="7">
        <v>0</v>
      </c>
      <c r="AH7" s="7">
        <v>0</v>
      </c>
      <c r="AI7" s="7">
        <v>0</v>
      </c>
      <c r="AJ7" s="7">
        <f t="shared" si="4"/>
        <v>0</v>
      </c>
      <c r="AK7" s="33"/>
      <c r="AL7" s="7">
        <v>0</v>
      </c>
      <c r="AM7" s="7">
        <v>2</v>
      </c>
      <c r="AN7" s="7">
        <v>0</v>
      </c>
      <c r="AO7" s="7">
        <f t="shared" si="9"/>
        <v>2</v>
      </c>
      <c r="AP7" s="33"/>
      <c r="AQ7" s="7">
        <f t="shared" si="8"/>
        <v>27</v>
      </c>
      <c r="AR7" s="7">
        <f t="shared" si="5"/>
        <v>23</v>
      </c>
      <c r="AS7" s="7">
        <f t="shared" si="5"/>
        <v>24</v>
      </c>
      <c r="AT7" s="7">
        <f t="shared" si="10"/>
        <v>74</v>
      </c>
    </row>
    <row r="8" spans="1:46" x14ac:dyDescent="0.25">
      <c r="A8" s="5">
        <v>30</v>
      </c>
      <c r="B8" s="6">
        <v>45078</v>
      </c>
      <c r="C8" s="7">
        <v>45</v>
      </c>
      <c r="D8" s="7">
        <v>47</v>
      </c>
      <c r="E8" s="7">
        <v>51</v>
      </c>
      <c r="F8" s="7">
        <f t="shared" si="0"/>
        <v>143</v>
      </c>
      <c r="G8" s="35"/>
      <c r="H8" s="7">
        <v>15</v>
      </c>
      <c r="I8" s="7">
        <v>12</v>
      </c>
      <c r="J8" s="7">
        <v>8</v>
      </c>
      <c r="K8" s="7">
        <f t="shared" si="1"/>
        <v>35</v>
      </c>
      <c r="L8" s="33"/>
      <c r="M8" s="7">
        <v>10</v>
      </c>
      <c r="N8" s="7">
        <v>14</v>
      </c>
      <c r="O8" s="7">
        <v>7</v>
      </c>
      <c r="P8" s="7">
        <f t="shared" si="6"/>
        <v>31</v>
      </c>
      <c r="Q8" s="33"/>
      <c r="R8" s="7">
        <v>2</v>
      </c>
      <c r="S8" s="7">
        <v>1</v>
      </c>
      <c r="T8" s="7">
        <v>1</v>
      </c>
      <c r="U8" s="7">
        <f t="shared" si="2"/>
        <v>4</v>
      </c>
      <c r="V8" s="33"/>
      <c r="W8" s="7">
        <v>4</v>
      </c>
      <c r="X8" s="7">
        <v>4</v>
      </c>
      <c r="Y8" s="7">
        <v>0</v>
      </c>
      <c r="Z8" s="7">
        <f t="shared" si="3"/>
        <v>8</v>
      </c>
      <c r="AA8" s="33"/>
      <c r="AB8" s="7">
        <v>2</v>
      </c>
      <c r="AC8" s="7">
        <v>2</v>
      </c>
      <c r="AD8" s="7">
        <v>3</v>
      </c>
      <c r="AE8" s="7">
        <f t="shared" si="7"/>
        <v>7</v>
      </c>
      <c r="AF8" s="33"/>
      <c r="AG8" s="7">
        <v>1</v>
      </c>
      <c r="AH8" s="7">
        <v>1</v>
      </c>
      <c r="AI8" s="7">
        <v>0</v>
      </c>
      <c r="AJ8" s="7">
        <f t="shared" si="4"/>
        <v>2</v>
      </c>
      <c r="AK8" s="33"/>
      <c r="AL8" s="7">
        <v>0</v>
      </c>
      <c r="AM8" s="7">
        <v>0</v>
      </c>
      <c r="AN8" s="7">
        <v>2</v>
      </c>
      <c r="AO8" s="7">
        <f t="shared" si="9"/>
        <v>2</v>
      </c>
      <c r="AP8" s="33"/>
      <c r="AQ8" s="7">
        <f t="shared" si="8"/>
        <v>32</v>
      </c>
      <c r="AR8" s="7">
        <f t="shared" si="5"/>
        <v>32</v>
      </c>
      <c r="AS8" s="7">
        <f t="shared" si="5"/>
        <v>18</v>
      </c>
      <c r="AT8" s="7">
        <f t="shared" si="10"/>
        <v>82</v>
      </c>
    </row>
    <row r="9" spans="1:46" x14ac:dyDescent="0.25">
      <c r="A9" s="5">
        <v>31</v>
      </c>
      <c r="B9" s="6">
        <v>45108</v>
      </c>
      <c r="C9" s="7">
        <v>42</v>
      </c>
      <c r="D9" s="7">
        <v>42</v>
      </c>
      <c r="E9" s="7">
        <v>48</v>
      </c>
      <c r="F9" s="7">
        <f t="shared" si="0"/>
        <v>132</v>
      </c>
      <c r="G9" s="35"/>
      <c r="H9" s="7">
        <v>10</v>
      </c>
      <c r="I9" s="7">
        <v>6</v>
      </c>
      <c r="J9" s="7">
        <v>14</v>
      </c>
      <c r="K9" s="7">
        <f t="shared" si="1"/>
        <v>30</v>
      </c>
      <c r="L9" s="33"/>
      <c r="M9" s="7">
        <v>8</v>
      </c>
      <c r="N9" s="7">
        <v>13</v>
      </c>
      <c r="O9" s="7">
        <v>8</v>
      </c>
      <c r="P9" s="7">
        <f t="shared" si="6"/>
        <v>29</v>
      </c>
      <c r="Q9" s="33"/>
      <c r="R9" s="7">
        <v>2</v>
      </c>
      <c r="S9" s="7">
        <v>0</v>
      </c>
      <c r="T9" s="7">
        <v>2</v>
      </c>
      <c r="U9" s="7">
        <f t="shared" si="2"/>
        <v>4</v>
      </c>
      <c r="V9" s="33"/>
      <c r="W9" s="7">
        <v>10</v>
      </c>
      <c r="X9" s="7">
        <v>6</v>
      </c>
      <c r="Y9" s="7">
        <v>6</v>
      </c>
      <c r="Z9" s="7">
        <f t="shared" si="3"/>
        <v>22</v>
      </c>
      <c r="AA9" s="33"/>
      <c r="AB9" s="7">
        <v>0</v>
      </c>
      <c r="AC9" s="7">
        <v>3</v>
      </c>
      <c r="AD9" s="7">
        <v>1</v>
      </c>
      <c r="AE9" s="7">
        <f t="shared" si="7"/>
        <v>4</v>
      </c>
      <c r="AF9" s="33"/>
      <c r="AG9" s="7">
        <v>1</v>
      </c>
      <c r="AH9" s="7">
        <v>0</v>
      </c>
      <c r="AI9" s="7">
        <v>0</v>
      </c>
      <c r="AJ9" s="7">
        <f t="shared" si="4"/>
        <v>1</v>
      </c>
      <c r="AK9" s="33"/>
      <c r="AL9" s="7">
        <v>0</v>
      </c>
      <c r="AM9" s="7">
        <v>0</v>
      </c>
      <c r="AN9" s="7">
        <v>0</v>
      </c>
      <c r="AO9" s="7">
        <f t="shared" si="9"/>
        <v>0</v>
      </c>
      <c r="AP9" s="33"/>
      <c r="AQ9" s="7">
        <f t="shared" si="8"/>
        <v>31</v>
      </c>
      <c r="AR9" s="7">
        <f t="shared" si="5"/>
        <v>25</v>
      </c>
      <c r="AS9" s="7">
        <f t="shared" si="5"/>
        <v>30</v>
      </c>
      <c r="AT9" s="7">
        <f t="shared" si="10"/>
        <v>86</v>
      </c>
    </row>
    <row r="10" spans="1:46" x14ac:dyDescent="0.25">
      <c r="A10" s="5">
        <v>31</v>
      </c>
      <c r="B10" s="6">
        <v>45139</v>
      </c>
      <c r="C10" s="7">
        <v>45</v>
      </c>
      <c r="D10" s="7">
        <v>37</v>
      </c>
      <c r="E10" s="7">
        <v>39</v>
      </c>
      <c r="F10" s="7">
        <f t="shared" si="0"/>
        <v>121</v>
      </c>
      <c r="G10" s="35"/>
      <c r="H10" s="7">
        <v>8</v>
      </c>
      <c r="I10" s="7">
        <v>7</v>
      </c>
      <c r="J10" s="7">
        <v>8</v>
      </c>
      <c r="K10" s="7">
        <f t="shared" si="1"/>
        <v>23</v>
      </c>
      <c r="L10" s="33"/>
      <c r="M10" s="7">
        <v>15</v>
      </c>
      <c r="N10" s="7">
        <v>13</v>
      </c>
      <c r="O10" s="7">
        <v>11</v>
      </c>
      <c r="P10" s="7">
        <f t="shared" si="6"/>
        <v>39</v>
      </c>
      <c r="Q10" s="33"/>
      <c r="R10" s="7">
        <v>0</v>
      </c>
      <c r="S10" s="7">
        <v>2</v>
      </c>
      <c r="T10" s="7">
        <v>2</v>
      </c>
      <c r="U10" s="7">
        <f t="shared" si="2"/>
        <v>4</v>
      </c>
      <c r="V10" s="33"/>
      <c r="W10" s="7">
        <v>6</v>
      </c>
      <c r="X10" s="7">
        <v>8</v>
      </c>
      <c r="Y10" s="7">
        <v>5</v>
      </c>
      <c r="Z10" s="7">
        <f t="shared" si="3"/>
        <v>19</v>
      </c>
      <c r="AA10" s="33"/>
      <c r="AB10" s="7">
        <v>1</v>
      </c>
      <c r="AC10" s="7">
        <v>3</v>
      </c>
      <c r="AD10" s="7">
        <v>3</v>
      </c>
      <c r="AE10" s="7">
        <f t="shared" si="7"/>
        <v>7</v>
      </c>
      <c r="AF10" s="33"/>
      <c r="AG10" s="7">
        <v>0</v>
      </c>
      <c r="AH10" s="7">
        <v>0</v>
      </c>
      <c r="AI10" s="7">
        <v>1</v>
      </c>
      <c r="AJ10" s="7">
        <f t="shared" si="4"/>
        <v>1</v>
      </c>
      <c r="AK10" s="33"/>
      <c r="AL10" s="7">
        <v>0</v>
      </c>
      <c r="AM10" s="7">
        <v>0</v>
      </c>
      <c r="AN10" s="7">
        <v>0</v>
      </c>
      <c r="AO10" s="7">
        <f t="shared" si="9"/>
        <v>0</v>
      </c>
      <c r="AP10" s="33"/>
      <c r="AQ10" s="7">
        <f t="shared" si="8"/>
        <v>29</v>
      </c>
      <c r="AR10" s="7">
        <f t="shared" si="5"/>
        <v>30</v>
      </c>
      <c r="AS10" s="7">
        <f t="shared" si="5"/>
        <v>27</v>
      </c>
      <c r="AT10" s="7">
        <f t="shared" si="10"/>
        <v>86</v>
      </c>
    </row>
    <row r="11" spans="1:46" x14ac:dyDescent="0.25">
      <c r="A11" s="5">
        <v>30</v>
      </c>
      <c r="B11" s="6">
        <v>45170</v>
      </c>
      <c r="C11" s="7">
        <v>46</v>
      </c>
      <c r="D11" s="7">
        <v>44</v>
      </c>
      <c r="E11" s="7">
        <v>47</v>
      </c>
      <c r="F11" s="7">
        <f t="shared" si="0"/>
        <v>137</v>
      </c>
      <c r="G11" s="35"/>
      <c r="H11" s="7">
        <v>8</v>
      </c>
      <c r="I11" s="7">
        <v>10</v>
      </c>
      <c r="J11" s="7">
        <v>9</v>
      </c>
      <c r="K11" s="7">
        <f t="shared" si="1"/>
        <v>27</v>
      </c>
      <c r="L11" s="33"/>
      <c r="M11" s="7">
        <v>13</v>
      </c>
      <c r="N11" s="7">
        <v>14</v>
      </c>
      <c r="O11" s="7">
        <v>9</v>
      </c>
      <c r="P11" s="7">
        <f t="shared" si="6"/>
        <v>36</v>
      </c>
      <c r="Q11" s="33"/>
      <c r="R11" s="7">
        <v>2</v>
      </c>
      <c r="S11" s="7">
        <v>1</v>
      </c>
      <c r="T11" s="7">
        <v>0</v>
      </c>
      <c r="U11" s="7">
        <f t="shared" si="2"/>
        <v>3</v>
      </c>
      <c r="V11" s="33"/>
      <c r="W11" s="7">
        <v>8</v>
      </c>
      <c r="X11" s="7">
        <v>6</v>
      </c>
      <c r="Y11" s="7">
        <v>4</v>
      </c>
      <c r="Z11" s="7">
        <f t="shared" si="3"/>
        <v>18</v>
      </c>
      <c r="AA11" s="33"/>
      <c r="AB11" s="7">
        <v>2</v>
      </c>
      <c r="AC11" s="7">
        <v>2</v>
      </c>
      <c r="AD11" s="7">
        <v>1</v>
      </c>
      <c r="AE11" s="7">
        <f t="shared" si="7"/>
        <v>5</v>
      </c>
      <c r="AF11" s="33"/>
      <c r="AG11" s="7">
        <v>0</v>
      </c>
      <c r="AH11" s="7">
        <v>1</v>
      </c>
      <c r="AI11" s="7">
        <v>0</v>
      </c>
      <c r="AJ11" s="7">
        <f t="shared" si="4"/>
        <v>1</v>
      </c>
      <c r="AK11" s="33"/>
      <c r="AL11" s="7">
        <v>0</v>
      </c>
      <c r="AM11" s="7">
        <v>0</v>
      </c>
      <c r="AN11" s="7">
        <v>0</v>
      </c>
      <c r="AO11" s="7">
        <f t="shared" si="9"/>
        <v>0</v>
      </c>
      <c r="AP11" s="33"/>
      <c r="AQ11" s="7">
        <f t="shared" si="8"/>
        <v>31</v>
      </c>
      <c r="AR11" s="7">
        <f t="shared" si="5"/>
        <v>32</v>
      </c>
      <c r="AS11" s="7">
        <f t="shared" si="5"/>
        <v>22</v>
      </c>
      <c r="AT11" s="7">
        <f t="shared" si="10"/>
        <v>85</v>
      </c>
    </row>
    <row r="12" spans="1:46" x14ac:dyDescent="0.25">
      <c r="A12" s="5">
        <v>31</v>
      </c>
      <c r="B12" s="6">
        <v>45200</v>
      </c>
      <c r="C12" s="7">
        <v>38</v>
      </c>
      <c r="D12" s="7">
        <v>47</v>
      </c>
      <c r="E12" s="7">
        <v>46</v>
      </c>
      <c r="F12" s="7">
        <f t="shared" si="0"/>
        <v>131</v>
      </c>
      <c r="G12" s="35"/>
      <c r="H12" s="7">
        <v>4</v>
      </c>
      <c r="I12" s="7">
        <v>10</v>
      </c>
      <c r="J12" s="7">
        <v>6</v>
      </c>
      <c r="K12" s="7">
        <f t="shared" si="1"/>
        <v>20</v>
      </c>
      <c r="L12" s="33"/>
      <c r="M12" s="7">
        <v>14</v>
      </c>
      <c r="N12" s="7">
        <v>13</v>
      </c>
      <c r="O12" s="7">
        <v>9</v>
      </c>
      <c r="P12" s="7">
        <f t="shared" si="6"/>
        <v>36</v>
      </c>
      <c r="Q12" s="33"/>
      <c r="R12" s="7">
        <v>3</v>
      </c>
      <c r="S12" s="7">
        <v>0</v>
      </c>
      <c r="T12" s="7">
        <v>1</v>
      </c>
      <c r="U12" s="7">
        <f t="shared" si="2"/>
        <v>4</v>
      </c>
      <c r="V12" s="33"/>
      <c r="W12" s="7">
        <v>7</v>
      </c>
      <c r="X12" s="7">
        <v>7</v>
      </c>
      <c r="Y12" s="7">
        <v>7</v>
      </c>
      <c r="Z12" s="7">
        <f t="shared" si="3"/>
        <v>21</v>
      </c>
      <c r="AA12" s="33"/>
      <c r="AB12" s="7">
        <v>1</v>
      </c>
      <c r="AC12" s="7">
        <v>2</v>
      </c>
      <c r="AD12" s="7">
        <v>1</v>
      </c>
      <c r="AE12" s="7">
        <f t="shared" si="7"/>
        <v>4</v>
      </c>
      <c r="AF12" s="33"/>
      <c r="AG12" s="7">
        <v>0</v>
      </c>
      <c r="AH12" s="7">
        <v>1</v>
      </c>
      <c r="AI12" s="7">
        <v>1</v>
      </c>
      <c r="AJ12" s="7">
        <f t="shared" si="4"/>
        <v>2</v>
      </c>
      <c r="AK12" s="33"/>
      <c r="AL12" s="7">
        <v>0</v>
      </c>
      <c r="AM12" s="7">
        <v>0</v>
      </c>
      <c r="AN12" s="7">
        <v>0</v>
      </c>
      <c r="AO12" s="7">
        <f t="shared" si="9"/>
        <v>0</v>
      </c>
      <c r="AP12" s="33"/>
      <c r="AQ12" s="7">
        <f t="shared" si="8"/>
        <v>28</v>
      </c>
      <c r="AR12" s="7">
        <f t="shared" si="5"/>
        <v>31</v>
      </c>
      <c r="AS12" s="7">
        <f t="shared" si="5"/>
        <v>24</v>
      </c>
      <c r="AT12" s="7">
        <f t="shared" si="10"/>
        <v>83</v>
      </c>
    </row>
    <row r="13" spans="1:46" x14ac:dyDescent="0.25">
      <c r="A13" s="5">
        <v>30</v>
      </c>
      <c r="B13" s="6">
        <v>45231</v>
      </c>
      <c r="C13" s="7">
        <v>48</v>
      </c>
      <c r="D13" s="7">
        <v>53</v>
      </c>
      <c r="E13" s="7">
        <v>43</v>
      </c>
      <c r="F13" s="7">
        <f t="shared" si="0"/>
        <v>144</v>
      </c>
      <c r="G13" s="35"/>
      <c r="H13" s="7">
        <v>12</v>
      </c>
      <c r="I13" s="7">
        <v>6</v>
      </c>
      <c r="J13" s="7">
        <v>12</v>
      </c>
      <c r="K13" s="7">
        <f t="shared" si="1"/>
        <v>30</v>
      </c>
      <c r="L13" s="33"/>
      <c r="M13" s="7">
        <v>13</v>
      </c>
      <c r="N13" s="7">
        <v>16</v>
      </c>
      <c r="O13" s="7">
        <v>12</v>
      </c>
      <c r="P13" s="7">
        <f t="shared" si="6"/>
        <v>41</v>
      </c>
      <c r="Q13" s="33"/>
      <c r="R13" s="7">
        <v>2</v>
      </c>
      <c r="S13" s="7">
        <v>1</v>
      </c>
      <c r="T13" s="7">
        <v>2</v>
      </c>
      <c r="U13" s="7">
        <f t="shared" si="2"/>
        <v>5</v>
      </c>
      <c r="V13" s="33"/>
      <c r="W13" s="7">
        <v>7</v>
      </c>
      <c r="X13" s="7">
        <v>7</v>
      </c>
      <c r="Y13" s="7">
        <v>7</v>
      </c>
      <c r="Z13" s="7">
        <f t="shared" si="3"/>
        <v>21</v>
      </c>
      <c r="AA13" s="33"/>
      <c r="AB13" s="7">
        <v>3</v>
      </c>
      <c r="AC13" s="7">
        <v>2</v>
      </c>
      <c r="AD13" s="7">
        <v>0</v>
      </c>
      <c r="AE13" s="7">
        <f t="shared" si="7"/>
        <v>5</v>
      </c>
      <c r="AF13" s="33"/>
      <c r="AG13" s="7">
        <v>1</v>
      </c>
      <c r="AH13" s="7">
        <v>0</v>
      </c>
      <c r="AI13" s="7">
        <v>0</v>
      </c>
      <c r="AJ13" s="7">
        <f t="shared" si="4"/>
        <v>1</v>
      </c>
      <c r="AK13" s="33"/>
      <c r="AL13" s="7">
        <v>0</v>
      </c>
      <c r="AM13" s="7">
        <v>0</v>
      </c>
      <c r="AN13" s="7">
        <v>0</v>
      </c>
      <c r="AO13" s="7">
        <f t="shared" si="9"/>
        <v>0</v>
      </c>
      <c r="AP13" s="33"/>
      <c r="AQ13" s="7">
        <f t="shared" si="8"/>
        <v>35</v>
      </c>
      <c r="AR13" s="7">
        <f t="shared" si="5"/>
        <v>30</v>
      </c>
      <c r="AS13" s="7">
        <f t="shared" si="5"/>
        <v>33</v>
      </c>
      <c r="AT13" s="7">
        <f t="shared" si="10"/>
        <v>98</v>
      </c>
    </row>
    <row r="14" spans="1:46" x14ac:dyDescent="0.25">
      <c r="A14" s="5">
        <v>31</v>
      </c>
      <c r="B14" s="6">
        <v>45261</v>
      </c>
      <c r="C14" s="7">
        <v>44</v>
      </c>
      <c r="D14" s="7">
        <v>45</v>
      </c>
      <c r="E14" s="7">
        <v>47</v>
      </c>
      <c r="F14" s="7">
        <f t="shared" si="0"/>
        <v>136</v>
      </c>
      <c r="G14" s="36"/>
      <c r="H14" s="7">
        <v>8</v>
      </c>
      <c r="I14" s="7">
        <v>6</v>
      </c>
      <c r="J14" s="7">
        <v>7</v>
      </c>
      <c r="K14" s="7">
        <f t="shared" si="1"/>
        <v>21</v>
      </c>
      <c r="L14" s="34"/>
      <c r="M14" s="7">
        <v>11</v>
      </c>
      <c r="N14" s="7">
        <v>15</v>
      </c>
      <c r="O14" s="7">
        <v>7</v>
      </c>
      <c r="P14" s="7">
        <f t="shared" si="6"/>
        <v>33</v>
      </c>
      <c r="Q14" s="34"/>
      <c r="R14" s="7">
        <v>2</v>
      </c>
      <c r="S14" s="7">
        <v>3</v>
      </c>
      <c r="T14" s="7">
        <v>3</v>
      </c>
      <c r="U14" s="7">
        <f t="shared" si="2"/>
        <v>8</v>
      </c>
      <c r="V14" s="34"/>
      <c r="W14" s="7">
        <v>8</v>
      </c>
      <c r="X14" s="7">
        <v>9</v>
      </c>
      <c r="Y14" s="7">
        <v>7</v>
      </c>
      <c r="Z14" s="7">
        <f t="shared" si="3"/>
        <v>24</v>
      </c>
      <c r="AA14" s="34"/>
      <c r="AB14" s="7">
        <v>2</v>
      </c>
      <c r="AC14" s="7">
        <v>3</v>
      </c>
      <c r="AD14" s="7">
        <v>2</v>
      </c>
      <c r="AE14" s="7">
        <f t="shared" si="7"/>
        <v>7</v>
      </c>
      <c r="AF14" s="34"/>
      <c r="AG14" s="7">
        <v>4</v>
      </c>
      <c r="AH14" s="7">
        <v>0</v>
      </c>
      <c r="AI14" s="7">
        <v>0</v>
      </c>
      <c r="AJ14" s="7">
        <f t="shared" si="4"/>
        <v>4</v>
      </c>
      <c r="AK14" s="34"/>
      <c r="AL14" s="7">
        <v>0</v>
      </c>
      <c r="AM14" s="7">
        <v>0</v>
      </c>
      <c r="AN14" s="7">
        <v>0</v>
      </c>
      <c r="AO14" s="7">
        <f t="shared" si="9"/>
        <v>0</v>
      </c>
      <c r="AP14" s="34"/>
      <c r="AQ14" s="7">
        <f t="shared" si="8"/>
        <v>33</v>
      </c>
      <c r="AR14" s="7">
        <f t="shared" si="5"/>
        <v>33</v>
      </c>
      <c r="AS14" s="7">
        <f t="shared" si="5"/>
        <v>24</v>
      </c>
      <c r="AT14" s="7">
        <f t="shared" si="10"/>
        <v>90</v>
      </c>
    </row>
    <row r="15" spans="1:46" x14ac:dyDescent="0.25">
      <c r="B15" s="8"/>
      <c r="C15" s="9">
        <f>AVERAGE(C3:C14)</f>
        <v>44.916666666666664</v>
      </c>
      <c r="D15" s="9">
        <f t="shared" ref="D15:E15" si="11">AVERAGE(D3:D14)</f>
        <v>43.416666666666664</v>
      </c>
      <c r="E15" s="9">
        <f t="shared" si="11"/>
        <v>49.583333333333336</v>
      </c>
      <c r="F15" s="9">
        <f>AVERAGE(F4:F14)</f>
        <v>137.54545454545453</v>
      </c>
      <c r="G15" s="9"/>
      <c r="H15" s="9">
        <f>AVERAGE(H3:H14)</f>
        <v>8.8333333333333339</v>
      </c>
      <c r="I15" s="9">
        <f t="shared" ref="I15:J15" si="12">AVERAGE(I3:I14)</f>
        <v>8.4166666666666661</v>
      </c>
      <c r="J15" s="9">
        <f t="shared" si="12"/>
        <v>8.5833333333333339</v>
      </c>
      <c r="K15" s="9">
        <f>AVERAGE(K4:K14)</f>
        <v>25.727272727272727</v>
      </c>
      <c r="L15" s="9"/>
      <c r="M15" s="9">
        <f t="shared" ref="M15:P15" si="13">AVERAGE(M3:M14)</f>
        <v>12.416666666666666</v>
      </c>
      <c r="N15" s="9">
        <f t="shared" si="13"/>
        <v>14.416666666666666</v>
      </c>
      <c r="O15" s="9">
        <f t="shared" si="13"/>
        <v>9.3333333333333339</v>
      </c>
      <c r="P15" s="9">
        <f t="shared" si="13"/>
        <v>36.166666666666664</v>
      </c>
      <c r="Q15" s="9"/>
      <c r="R15" s="9">
        <f>AVERAGE(R3:R14)</f>
        <v>1.8333333333333333</v>
      </c>
      <c r="S15" s="9">
        <f t="shared" ref="S15:T15" si="14">AVERAGE(S3:S14)</f>
        <v>0.83333333333333337</v>
      </c>
      <c r="T15" s="9">
        <f t="shared" si="14"/>
        <v>1.4166666666666667</v>
      </c>
      <c r="U15" s="9">
        <f>AVERAGE(U4:U14)</f>
        <v>4.2727272727272725</v>
      </c>
      <c r="V15" s="9"/>
      <c r="W15" s="9">
        <f>AVERAGE(W3:W14)</f>
        <v>6.833333333333333</v>
      </c>
      <c r="X15" s="9">
        <f t="shared" ref="X15:Y15" si="15">AVERAGE(X3:X14)</f>
        <v>6.25</v>
      </c>
      <c r="Y15" s="9">
        <f t="shared" si="15"/>
        <v>5.166666666666667</v>
      </c>
      <c r="Z15" s="9">
        <f>AVERAGE(Z4:Z14)</f>
        <v>18.181818181818183</v>
      </c>
      <c r="AA15" s="9"/>
      <c r="AB15" s="9">
        <f t="shared" ref="AB15:AD15" si="16">AVERAGE(AB3:AB14)</f>
        <v>1.6666666666666667</v>
      </c>
      <c r="AC15" s="9">
        <f t="shared" si="16"/>
        <v>2.25</v>
      </c>
      <c r="AD15" s="9">
        <f t="shared" si="16"/>
        <v>1.5</v>
      </c>
      <c r="AE15" s="8">
        <f t="shared" si="7"/>
        <v>5.416666666666667</v>
      </c>
      <c r="AF15" s="9"/>
      <c r="AG15" s="9">
        <f>AVERAGE(AG3:AG14)</f>
        <v>0.58333333333333337</v>
      </c>
      <c r="AH15" s="9">
        <f t="shared" ref="AH15:AI15" si="17">AVERAGE(AH3:AH14)</f>
        <v>0.25</v>
      </c>
      <c r="AI15" s="9">
        <f t="shared" si="17"/>
        <v>0.33333333333333331</v>
      </c>
      <c r="AJ15" s="9">
        <f>AVERAGE(AJ4:AJ14)</f>
        <v>1.1818181818181819</v>
      </c>
      <c r="AK15" s="9"/>
      <c r="AL15" s="9">
        <f>AVERAGE(AL3:AL14)</f>
        <v>0.25</v>
      </c>
      <c r="AM15" s="9">
        <f>AVERAGE(AM3:AM14)</f>
        <v>0.25</v>
      </c>
      <c r="AN15" s="9">
        <f>AVERAGE(AN3:AN14)</f>
        <v>0.25</v>
      </c>
      <c r="AO15" s="9">
        <f>AVERAGE(AO4:AO14)</f>
        <v>0.72727272727272729</v>
      </c>
      <c r="AP15" s="9"/>
      <c r="AQ15" s="9">
        <f>AVERAGE(AQ3:AQ14)</f>
        <v>30.75</v>
      </c>
      <c r="AR15" s="9">
        <f>AVERAGE(AR3:AR14)</f>
        <v>30.416666666666668</v>
      </c>
      <c r="AS15" s="9">
        <f>AVERAGE(AS3:AS14)</f>
        <v>25.083333333333332</v>
      </c>
      <c r="AT15" s="9">
        <f>AVERAGE(AT4:AT14)</f>
        <v>86.272727272727266</v>
      </c>
    </row>
  </sheetData>
  <mergeCells count="18">
    <mergeCell ref="AP1:AP14"/>
    <mergeCell ref="AQ1:AT1"/>
    <mergeCell ref="AA1:AA14"/>
    <mergeCell ref="AB1:AE1"/>
    <mergeCell ref="AF1:AF14"/>
    <mergeCell ref="AG1:AJ1"/>
    <mergeCell ref="AK1:AK14"/>
    <mergeCell ref="AL1:AO1"/>
    <mergeCell ref="Q1:Q14"/>
    <mergeCell ref="R1:U1"/>
    <mergeCell ref="V1:V14"/>
    <mergeCell ref="W1:Z1"/>
    <mergeCell ref="A1:B1"/>
    <mergeCell ref="C1:F1"/>
    <mergeCell ref="G1:G14"/>
    <mergeCell ref="H1:K1"/>
    <mergeCell ref="L1:L14"/>
    <mergeCell ref="M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908F-A7C2-4537-A704-EAF3980BEBE3}">
  <dimension ref="A1:AY23"/>
  <sheetViews>
    <sheetView zoomScaleNormal="100" workbookViewId="0">
      <pane ySplit="1" topLeftCell="A2" activePane="bottomLeft" state="frozen"/>
      <selection pane="bottomLeft" sqref="A1:B1"/>
    </sheetView>
  </sheetViews>
  <sheetFormatPr defaultRowHeight="15" x14ac:dyDescent="0.25"/>
  <sheetData>
    <row r="1" spans="1:51" x14ac:dyDescent="0.25">
      <c r="A1" s="30"/>
      <c r="B1" s="31"/>
      <c r="C1" s="37" t="s">
        <v>1</v>
      </c>
      <c r="D1" s="38"/>
      <c r="E1" s="38"/>
      <c r="F1" s="38"/>
      <c r="G1" s="35"/>
      <c r="H1" s="27" t="s">
        <v>12</v>
      </c>
      <c r="I1" s="28"/>
      <c r="J1" s="28"/>
      <c r="K1" s="29"/>
      <c r="L1" s="32"/>
      <c r="M1" s="27" t="s">
        <v>13</v>
      </c>
      <c r="N1" s="28"/>
      <c r="O1" s="28"/>
      <c r="P1" s="29"/>
      <c r="Q1" s="32"/>
      <c r="R1" s="27" t="s">
        <v>2</v>
      </c>
      <c r="S1" s="28"/>
      <c r="T1" s="28"/>
      <c r="U1" s="29"/>
      <c r="V1" s="33"/>
      <c r="W1" s="27" t="s">
        <v>3</v>
      </c>
      <c r="X1" s="28"/>
      <c r="Y1" s="28"/>
      <c r="Z1" s="29"/>
      <c r="AA1" s="32"/>
      <c r="AB1" s="27" t="s">
        <v>11</v>
      </c>
      <c r="AC1" s="28"/>
      <c r="AD1" s="28"/>
      <c r="AE1" s="28"/>
      <c r="AF1" s="32"/>
      <c r="AG1" s="27" t="s">
        <v>4</v>
      </c>
      <c r="AH1" s="28"/>
      <c r="AI1" s="28"/>
      <c r="AJ1" s="28"/>
      <c r="AK1" s="32"/>
      <c r="AL1" s="27" t="s">
        <v>14</v>
      </c>
      <c r="AM1" s="28"/>
      <c r="AN1" s="28"/>
      <c r="AO1" s="28"/>
      <c r="AP1" s="32"/>
      <c r="AQ1" s="27" t="s">
        <v>15</v>
      </c>
      <c r="AR1" s="28"/>
      <c r="AS1" s="28"/>
      <c r="AT1" s="28"/>
      <c r="AU1" s="32"/>
      <c r="AV1" s="27" t="s">
        <v>18</v>
      </c>
      <c r="AW1" s="28"/>
      <c r="AX1" s="28"/>
      <c r="AY1" s="28"/>
    </row>
    <row r="2" spans="1:51" x14ac:dyDescent="0.25">
      <c r="A2" s="2" t="s">
        <v>5</v>
      </c>
      <c r="B2" s="2" t="s">
        <v>6</v>
      </c>
      <c r="C2" s="3" t="s">
        <v>7</v>
      </c>
      <c r="D2" s="3" t="s">
        <v>8</v>
      </c>
      <c r="E2" s="3" t="s">
        <v>9</v>
      </c>
      <c r="F2" s="4" t="s">
        <v>10</v>
      </c>
      <c r="G2" s="35"/>
      <c r="H2" s="3" t="s">
        <v>7</v>
      </c>
      <c r="I2" s="3" t="s">
        <v>8</v>
      </c>
      <c r="J2" s="3" t="s">
        <v>9</v>
      </c>
      <c r="K2" s="4" t="s">
        <v>10</v>
      </c>
      <c r="L2" s="33"/>
      <c r="M2" s="3" t="s">
        <v>7</v>
      </c>
      <c r="N2" s="3" t="s">
        <v>8</v>
      </c>
      <c r="O2" s="3" t="s">
        <v>9</v>
      </c>
      <c r="P2" s="4" t="s">
        <v>10</v>
      </c>
      <c r="Q2" s="33"/>
      <c r="R2" s="3" t="s">
        <v>7</v>
      </c>
      <c r="S2" s="3" t="s">
        <v>8</v>
      </c>
      <c r="T2" s="3" t="s">
        <v>9</v>
      </c>
      <c r="U2" s="4" t="s">
        <v>10</v>
      </c>
      <c r="V2" s="33"/>
      <c r="W2" s="3" t="s">
        <v>7</v>
      </c>
      <c r="X2" s="3" t="s">
        <v>8</v>
      </c>
      <c r="Y2" s="3" t="s">
        <v>9</v>
      </c>
      <c r="Z2" s="4" t="s">
        <v>10</v>
      </c>
      <c r="AA2" s="33"/>
      <c r="AB2" s="3" t="s">
        <v>7</v>
      </c>
      <c r="AC2" s="3" t="s">
        <v>8</v>
      </c>
      <c r="AD2" s="3" t="s">
        <v>9</v>
      </c>
      <c r="AE2" s="4" t="s">
        <v>10</v>
      </c>
      <c r="AF2" s="33"/>
      <c r="AG2" s="3" t="s">
        <v>7</v>
      </c>
      <c r="AH2" s="3" t="s">
        <v>8</v>
      </c>
      <c r="AI2" s="3" t="s">
        <v>9</v>
      </c>
      <c r="AJ2" s="4" t="s">
        <v>10</v>
      </c>
      <c r="AK2" s="33"/>
      <c r="AL2" s="3" t="s">
        <v>16</v>
      </c>
      <c r="AM2" s="3" t="s">
        <v>17</v>
      </c>
      <c r="AN2" s="3" t="s">
        <v>9</v>
      </c>
      <c r="AO2" s="4" t="s">
        <v>10</v>
      </c>
      <c r="AP2" s="33"/>
      <c r="AQ2" s="3" t="s">
        <v>16</v>
      </c>
      <c r="AR2" s="3" t="s">
        <v>17</v>
      </c>
      <c r="AS2" s="3" t="s">
        <v>9</v>
      </c>
      <c r="AT2" s="4" t="s">
        <v>10</v>
      </c>
      <c r="AU2" s="33"/>
      <c r="AV2" s="3" t="s">
        <v>16</v>
      </c>
      <c r="AW2" s="3" t="s">
        <v>17</v>
      </c>
      <c r="AX2" s="3" t="s">
        <v>9</v>
      </c>
      <c r="AY2" s="4" t="s">
        <v>10</v>
      </c>
    </row>
    <row r="3" spans="1:51" x14ac:dyDescent="0.25">
      <c r="A3" s="5">
        <v>31</v>
      </c>
      <c r="B3" s="6">
        <v>45292</v>
      </c>
      <c r="C3" s="7">
        <v>49</v>
      </c>
      <c r="D3" s="7">
        <v>45</v>
      </c>
      <c r="E3" s="7">
        <v>52</v>
      </c>
      <c r="F3" s="7">
        <f t="shared" ref="F3:F14" si="0">C3+D3+E3</f>
        <v>146</v>
      </c>
      <c r="G3" s="35"/>
      <c r="H3" s="7">
        <v>12</v>
      </c>
      <c r="I3" s="7">
        <v>13</v>
      </c>
      <c r="J3" s="7">
        <v>6</v>
      </c>
      <c r="K3" s="7">
        <f>H3+I3+J3</f>
        <v>31</v>
      </c>
      <c r="L3" s="33"/>
      <c r="M3" s="7">
        <v>1</v>
      </c>
      <c r="N3" s="7">
        <v>4</v>
      </c>
      <c r="O3" s="7">
        <v>1</v>
      </c>
      <c r="P3" s="7">
        <f t="shared" ref="P3:P14" si="1">M3+N3+O3</f>
        <v>6</v>
      </c>
      <c r="Q3" s="33"/>
      <c r="R3" s="7">
        <v>6</v>
      </c>
      <c r="S3" s="7">
        <v>7</v>
      </c>
      <c r="T3" s="7">
        <v>12</v>
      </c>
      <c r="U3" s="7">
        <f t="shared" ref="U3:U14" si="2">R3+T3+S3</f>
        <v>25</v>
      </c>
      <c r="V3" s="33"/>
      <c r="W3" s="7">
        <v>6</v>
      </c>
      <c r="X3" s="7">
        <v>6</v>
      </c>
      <c r="Y3" s="7">
        <v>4</v>
      </c>
      <c r="Z3" s="7">
        <f t="shared" ref="Z3:Z14" si="3">W3+X3+Y3</f>
        <v>16</v>
      </c>
      <c r="AA3" s="33"/>
      <c r="AB3" s="7">
        <v>3</v>
      </c>
      <c r="AC3" s="7">
        <v>2</v>
      </c>
      <c r="AD3" s="7">
        <v>2</v>
      </c>
      <c r="AE3" s="7">
        <f>AB3+AC3+AD3</f>
        <v>7</v>
      </c>
      <c r="AF3" s="33"/>
      <c r="AG3" s="7">
        <v>1</v>
      </c>
      <c r="AH3" s="7">
        <v>1</v>
      </c>
      <c r="AI3" s="7">
        <v>0</v>
      </c>
      <c r="AJ3" s="7">
        <f t="shared" ref="AJ3:AJ14" si="4">AG3+AH3+AI3</f>
        <v>2</v>
      </c>
      <c r="AK3" s="33"/>
      <c r="AL3" s="7">
        <v>0</v>
      </c>
      <c r="AM3" s="7">
        <v>0</v>
      </c>
      <c r="AN3" s="7">
        <v>1</v>
      </c>
      <c r="AO3" s="7">
        <f>AL3+AM3+AN3</f>
        <v>1</v>
      </c>
      <c r="AP3" s="33"/>
      <c r="AQ3" s="7">
        <f t="shared" ref="AQ3:AS7" si="5">R3+H3+M3+W3+AG3+AL3</f>
        <v>26</v>
      </c>
      <c r="AR3" s="7">
        <f t="shared" si="5"/>
        <v>31</v>
      </c>
      <c r="AS3" s="7">
        <f t="shared" si="5"/>
        <v>24</v>
      </c>
      <c r="AT3" s="7">
        <f>AQ3+AR3+AS3</f>
        <v>81</v>
      </c>
      <c r="AU3" s="33"/>
      <c r="AV3" s="7">
        <f t="shared" ref="AV3:AX7" si="6">C3+R3+H3+M3+W3+AB3+AG3+AL3</f>
        <v>78</v>
      </c>
      <c r="AW3" s="7">
        <f t="shared" si="6"/>
        <v>78</v>
      </c>
      <c r="AX3" s="7">
        <f t="shared" si="6"/>
        <v>78</v>
      </c>
      <c r="AY3" s="7">
        <f>AV3+AW3+AX3</f>
        <v>234</v>
      </c>
    </row>
    <row r="4" spans="1:51" x14ac:dyDescent="0.25">
      <c r="A4" s="5">
        <v>29</v>
      </c>
      <c r="B4" s="6">
        <v>45323</v>
      </c>
      <c r="C4" s="7">
        <v>43</v>
      </c>
      <c r="D4" s="7">
        <v>51</v>
      </c>
      <c r="E4" s="7">
        <v>41</v>
      </c>
      <c r="F4" s="7">
        <f t="shared" si="0"/>
        <v>135</v>
      </c>
      <c r="G4" s="35"/>
      <c r="H4" s="7">
        <v>16</v>
      </c>
      <c r="I4" s="7">
        <v>13</v>
      </c>
      <c r="J4" s="7">
        <v>8</v>
      </c>
      <c r="K4" s="7">
        <f t="shared" ref="K4:K14" si="7">H4+I4+J4</f>
        <v>37</v>
      </c>
      <c r="L4" s="33"/>
      <c r="M4" s="7">
        <v>3</v>
      </c>
      <c r="N4" s="7">
        <v>4</v>
      </c>
      <c r="O4" s="7">
        <v>2</v>
      </c>
      <c r="P4" s="7">
        <f t="shared" si="1"/>
        <v>9</v>
      </c>
      <c r="Q4" s="33"/>
      <c r="R4" s="7">
        <v>8</v>
      </c>
      <c r="S4" s="7">
        <v>12</v>
      </c>
      <c r="T4" s="7">
        <v>6</v>
      </c>
      <c r="U4" s="7">
        <f t="shared" si="2"/>
        <v>26</v>
      </c>
      <c r="V4" s="33"/>
      <c r="W4" s="7">
        <v>10</v>
      </c>
      <c r="X4" s="7">
        <v>7</v>
      </c>
      <c r="Y4" s="7">
        <v>6</v>
      </c>
      <c r="Z4" s="7">
        <f t="shared" si="3"/>
        <v>23</v>
      </c>
      <c r="AA4" s="33"/>
      <c r="AB4" s="7">
        <v>1</v>
      </c>
      <c r="AC4" s="7">
        <v>2</v>
      </c>
      <c r="AD4" s="7">
        <v>1</v>
      </c>
      <c r="AE4" s="7">
        <f t="shared" ref="AE4:AE14" si="8">AB4+AC4+AD4</f>
        <v>4</v>
      </c>
      <c r="AF4" s="33"/>
      <c r="AG4" s="7">
        <v>0</v>
      </c>
      <c r="AH4" s="7">
        <v>0</v>
      </c>
      <c r="AI4" s="7">
        <v>1</v>
      </c>
      <c r="AJ4" s="7">
        <f t="shared" si="4"/>
        <v>1</v>
      </c>
      <c r="AK4" s="33"/>
      <c r="AL4" s="10">
        <v>0</v>
      </c>
      <c r="AM4" s="7">
        <v>1</v>
      </c>
      <c r="AN4" s="7">
        <v>2</v>
      </c>
      <c r="AO4" s="7">
        <f>AL3+AM4+AN4</f>
        <v>3</v>
      </c>
      <c r="AP4" s="33"/>
      <c r="AQ4" s="7">
        <f t="shared" si="5"/>
        <v>37</v>
      </c>
      <c r="AR4" s="7">
        <f t="shared" si="5"/>
        <v>37</v>
      </c>
      <c r="AS4" s="7">
        <f t="shared" si="5"/>
        <v>25</v>
      </c>
      <c r="AT4" s="7">
        <f>AQ3+AR4+AS4</f>
        <v>88</v>
      </c>
      <c r="AU4" s="33"/>
      <c r="AV4" s="7">
        <f t="shared" si="6"/>
        <v>81</v>
      </c>
      <c r="AW4" s="7">
        <f t="shared" si="6"/>
        <v>90</v>
      </c>
      <c r="AX4" s="7">
        <f t="shared" si="6"/>
        <v>67</v>
      </c>
      <c r="AY4" s="7">
        <f>AV3+AW4+AX4</f>
        <v>235</v>
      </c>
    </row>
    <row r="5" spans="1:51" x14ac:dyDescent="0.25">
      <c r="A5" s="5">
        <v>31</v>
      </c>
      <c r="B5" s="6">
        <v>45352</v>
      </c>
      <c r="C5" s="7">
        <v>39</v>
      </c>
      <c r="D5" s="7">
        <v>51</v>
      </c>
      <c r="E5" s="7">
        <v>49</v>
      </c>
      <c r="F5" s="7">
        <f t="shared" si="0"/>
        <v>139</v>
      </c>
      <c r="G5" s="35"/>
      <c r="H5" s="7">
        <v>14</v>
      </c>
      <c r="I5" s="7">
        <v>10</v>
      </c>
      <c r="J5" s="7">
        <v>7</v>
      </c>
      <c r="K5" s="7">
        <f t="shared" si="7"/>
        <v>31</v>
      </c>
      <c r="L5" s="33"/>
      <c r="M5" s="7">
        <v>3</v>
      </c>
      <c r="N5" s="7">
        <v>2</v>
      </c>
      <c r="O5" s="7">
        <v>3</v>
      </c>
      <c r="P5" s="7">
        <f t="shared" si="1"/>
        <v>8</v>
      </c>
      <c r="Q5" s="33"/>
      <c r="R5" s="7">
        <v>7</v>
      </c>
      <c r="S5" s="7">
        <v>7</v>
      </c>
      <c r="T5" s="7">
        <v>9</v>
      </c>
      <c r="U5" s="7">
        <f t="shared" si="2"/>
        <v>23</v>
      </c>
      <c r="V5" s="33"/>
      <c r="W5" s="7">
        <v>6</v>
      </c>
      <c r="X5" s="7">
        <v>8</v>
      </c>
      <c r="Y5" s="7">
        <v>9</v>
      </c>
      <c r="Z5" s="7">
        <f t="shared" si="3"/>
        <v>23</v>
      </c>
      <c r="AA5" s="33"/>
      <c r="AB5" s="7">
        <v>2</v>
      </c>
      <c r="AC5" s="7">
        <v>2</v>
      </c>
      <c r="AD5" s="7">
        <v>2</v>
      </c>
      <c r="AE5" s="7">
        <f t="shared" si="8"/>
        <v>6</v>
      </c>
      <c r="AF5" s="33"/>
      <c r="AG5" s="7">
        <v>0</v>
      </c>
      <c r="AH5" s="7">
        <v>2</v>
      </c>
      <c r="AI5" s="7">
        <v>1</v>
      </c>
      <c r="AJ5" s="7">
        <f t="shared" si="4"/>
        <v>3</v>
      </c>
      <c r="AK5" s="33"/>
      <c r="AL5" s="7">
        <v>0</v>
      </c>
      <c r="AM5" s="7">
        <v>2</v>
      </c>
      <c r="AN5" s="7">
        <v>0</v>
      </c>
      <c r="AO5" s="7">
        <f t="shared" ref="AO5:AO14" si="9">AL5+AM5+AN5</f>
        <v>2</v>
      </c>
      <c r="AP5" s="33"/>
      <c r="AQ5" s="7">
        <f t="shared" si="5"/>
        <v>30</v>
      </c>
      <c r="AR5" s="7">
        <f t="shared" si="5"/>
        <v>31</v>
      </c>
      <c r="AS5" s="7">
        <f t="shared" si="5"/>
        <v>29</v>
      </c>
      <c r="AT5" s="7">
        <f t="shared" ref="AT5:AT11" si="10">AQ5+AR5+AS5</f>
        <v>90</v>
      </c>
      <c r="AU5" s="33"/>
      <c r="AV5" s="7">
        <f t="shared" si="6"/>
        <v>71</v>
      </c>
      <c r="AW5" s="7">
        <f t="shared" si="6"/>
        <v>84</v>
      </c>
      <c r="AX5" s="7">
        <f t="shared" si="6"/>
        <v>80</v>
      </c>
      <c r="AY5" s="7">
        <f t="shared" ref="AY5:AY11" si="11">AV5+AW5+AX5</f>
        <v>235</v>
      </c>
    </row>
    <row r="6" spans="1:51" x14ac:dyDescent="0.25">
      <c r="A6" s="5">
        <v>30</v>
      </c>
      <c r="B6" s="6">
        <v>45383</v>
      </c>
      <c r="C6" s="7">
        <v>48</v>
      </c>
      <c r="D6" s="7">
        <v>45</v>
      </c>
      <c r="E6" s="7">
        <v>39</v>
      </c>
      <c r="F6" s="7">
        <f t="shared" si="0"/>
        <v>132</v>
      </c>
      <c r="G6" s="35"/>
      <c r="H6" s="7">
        <v>11</v>
      </c>
      <c r="I6" s="7">
        <v>13</v>
      </c>
      <c r="J6" s="7">
        <v>11</v>
      </c>
      <c r="K6" s="7">
        <f t="shared" si="7"/>
        <v>35</v>
      </c>
      <c r="L6" s="33"/>
      <c r="M6" s="7">
        <v>1</v>
      </c>
      <c r="N6" s="7">
        <v>2</v>
      </c>
      <c r="O6" s="7">
        <v>1</v>
      </c>
      <c r="P6" s="7">
        <f t="shared" si="1"/>
        <v>4</v>
      </c>
      <c r="Q6" s="33"/>
      <c r="R6" s="7">
        <v>8</v>
      </c>
      <c r="S6" s="7">
        <v>7</v>
      </c>
      <c r="T6" s="7">
        <v>7</v>
      </c>
      <c r="U6" s="7">
        <f t="shared" si="2"/>
        <v>22</v>
      </c>
      <c r="V6" s="33"/>
      <c r="W6" s="7">
        <v>6</v>
      </c>
      <c r="X6" s="7">
        <v>7</v>
      </c>
      <c r="Y6" s="7">
        <v>7</v>
      </c>
      <c r="Z6" s="7">
        <f t="shared" si="3"/>
        <v>20</v>
      </c>
      <c r="AA6" s="33"/>
      <c r="AB6" s="7">
        <v>2</v>
      </c>
      <c r="AC6" s="7">
        <v>1</v>
      </c>
      <c r="AD6" s="7">
        <v>3</v>
      </c>
      <c r="AE6" s="7">
        <f t="shared" si="8"/>
        <v>6</v>
      </c>
      <c r="AF6" s="33"/>
      <c r="AG6" s="7">
        <v>1</v>
      </c>
      <c r="AH6" s="7">
        <v>2</v>
      </c>
      <c r="AI6" s="7">
        <v>1</v>
      </c>
      <c r="AJ6" s="7">
        <f t="shared" si="4"/>
        <v>4</v>
      </c>
      <c r="AK6" s="33"/>
      <c r="AL6" s="7">
        <v>1</v>
      </c>
      <c r="AM6" s="7">
        <v>1</v>
      </c>
      <c r="AN6" s="7">
        <v>0</v>
      </c>
      <c r="AO6" s="7">
        <f t="shared" si="9"/>
        <v>2</v>
      </c>
      <c r="AP6" s="33"/>
      <c r="AQ6" s="7">
        <f t="shared" si="5"/>
        <v>28</v>
      </c>
      <c r="AR6" s="7">
        <f t="shared" si="5"/>
        <v>32</v>
      </c>
      <c r="AS6" s="7">
        <f t="shared" si="5"/>
        <v>27</v>
      </c>
      <c r="AT6" s="7">
        <f t="shared" si="10"/>
        <v>87</v>
      </c>
      <c r="AU6" s="33"/>
      <c r="AV6" s="7">
        <f t="shared" si="6"/>
        <v>78</v>
      </c>
      <c r="AW6" s="7">
        <f t="shared" si="6"/>
        <v>78</v>
      </c>
      <c r="AX6" s="7">
        <f t="shared" si="6"/>
        <v>69</v>
      </c>
      <c r="AY6" s="7">
        <f t="shared" si="11"/>
        <v>225</v>
      </c>
    </row>
    <row r="7" spans="1:51" x14ac:dyDescent="0.25">
      <c r="A7" s="5">
        <v>31</v>
      </c>
      <c r="B7" s="6">
        <v>45413</v>
      </c>
      <c r="C7" s="7">
        <v>47</v>
      </c>
      <c r="D7" s="7">
        <v>51</v>
      </c>
      <c r="E7" s="7">
        <v>48</v>
      </c>
      <c r="F7" s="7">
        <f>C7+D7+E7</f>
        <v>146</v>
      </c>
      <c r="G7" s="35"/>
      <c r="H7" s="7">
        <v>10</v>
      </c>
      <c r="I7" s="7">
        <v>16</v>
      </c>
      <c r="J7" s="7">
        <v>8</v>
      </c>
      <c r="K7" s="7">
        <f t="shared" si="7"/>
        <v>34</v>
      </c>
      <c r="L7" s="33"/>
      <c r="M7" s="7">
        <v>2</v>
      </c>
      <c r="N7" s="7">
        <v>4</v>
      </c>
      <c r="O7" s="7">
        <v>2</v>
      </c>
      <c r="P7" s="7">
        <f t="shared" si="1"/>
        <v>8</v>
      </c>
      <c r="Q7" s="33"/>
      <c r="R7" s="7">
        <v>8</v>
      </c>
      <c r="S7" s="7">
        <v>10</v>
      </c>
      <c r="T7" s="7">
        <v>4</v>
      </c>
      <c r="U7" s="7">
        <f t="shared" si="2"/>
        <v>22</v>
      </c>
      <c r="V7" s="33"/>
      <c r="W7" s="7">
        <v>7</v>
      </c>
      <c r="X7" s="7">
        <v>5</v>
      </c>
      <c r="Y7" s="7">
        <v>7</v>
      </c>
      <c r="Z7" s="7">
        <f t="shared" si="3"/>
        <v>19</v>
      </c>
      <c r="AA7" s="33"/>
      <c r="AB7" s="7">
        <v>1</v>
      </c>
      <c r="AC7" s="7">
        <v>2</v>
      </c>
      <c r="AD7" s="7">
        <v>2</v>
      </c>
      <c r="AE7" s="7">
        <f t="shared" si="8"/>
        <v>5</v>
      </c>
      <c r="AF7" s="33"/>
      <c r="AG7" s="7">
        <v>0</v>
      </c>
      <c r="AH7" s="7">
        <v>1</v>
      </c>
      <c r="AI7" s="7">
        <v>0</v>
      </c>
      <c r="AJ7" s="7">
        <f t="shared" si="4"/>
        <v>1</v>
      </c>
      <c r="AK7" s="33"/>
      <c r="AL7" s="7">
        <v>0</v>
      </c>
      <c r="AM7" s="7">
        <v>1</v>
      </c>
      <c r="AN7" s="7">
        <v>0</v>
      </c>
      <c r="AO7" s="7">
        <f t="shared" si="9"/>
        <v>1</v>
      </c>
      <c r="AP7" s="33"/>
      <c r="AQ7" s="7">
        <f t="shared" si="5"/>
        <v>27</v>
      </c>
      <c r="AR7" s="7">
        <f t="shared" si="5"/>
        <v>37</v>
      </c>
      <c r="AS7" s="7">
        <f t="shared" si="5"/>
        <v>21</v>
      </c>
      <c r="AT7" s="7">
        <f t="shared" si="10"/>
        <v>85</v>
      </c>
      <c r="AU7" s="33"/>
      <c r="AV7" s="7">
        <f t="shared" si="6"/>
        <v>75</v>
      </c>
      <c r="AW7" s="7">
        <f t="shared" si="6"/>
        <v>90</v>
      </c>
      <c r="AX7" s="7">
        <f t="shared" si="6"/>
        <v>71</v>
      </c>
      <c r="AY7" s="7">
        <f t="shared" si="11"/>
        <v>236</v>
      </c>
    </row>
    <row r="8" spans="1:51" x14ac:dyDescent="0.25">
      <c r="A8" s="5">
        <v>30</v>
      </c>
      <c r="B8" s="6">
        <v>45444</v>
      </c>
      <c r="C8" s="7">
        <v>41</v>
      </c>
      <c r="D8" s="7">
        <v>43</v>
      </c>
      <c r="E8" s="7">
        <v>42</v>
      </c>
      <c r="F8" s="7">
        <f t="shared" si="0"/>
        <v>126</v>
      </c>
      <c r="G8" s="35"/>
      <c r="H8" s="7">
        <v>11</v>
      </c>
      <c r="I8" s="7">
        <v>14</v>
      </c>
      <c r="J8" s="7">
        <v>7</v>
      </c>
      <c r="K8" s="7">
        <f t="shared" si="7"/>
        <v>32</v>
      </c>
      <c r="L8" s="33"/>
      <c r="M8" s="7">
        <v>2</v>
      </c>
      <c r="N8" s="7">
        <v>2</v>
      </c>
      <c r="O8" s="7">
        <v>2</v>
      </c>
      <c r="P8" s="7">
        <f t="shared" si="1"/>
        <v>6</v>
      </c>
      <c r="Q8" s="33"/>
      <c r="R8" s="7">
        <v>10</v>
      </c>
      <c r="S8" s="7">
        <v>9</v>
      </c>
      <c r="T8" s="7">
        <v>4</v>
      </c>
      <c r="U8" s="7">
        <f t="shared" si="2"/>
        <v>23</v>
      </c>
      <c r="V8" s="33"/>
      <c r="W8" s="7">
        <v>7</v>
      </c>
      <c r="X8" s="7">
        <v>9</v>
      </c>
      <c r="Y8" s="7">
        <v>6</v>
      </c>
      <c r="Z8" s="7">
        <f t="shared" si="3"/>
        <v>22</v>
      </c>
      <c r="AA8" s="33"/>
      <c r="AB8" s="7">
        <v>1</v>
      </c>
      <c r="AC8" s="7">
        <v>5</v>
      </c>
      <c r="AD8" s="7">
        <v>1</v>
      </c>
      <c r="AE8" s="7">
        <f t="shared" si="8"/>
        <v>7</v>
      </c>
      <c r="AF8" s="33"/>
      <c r="AG8" s="7">
        <v>0</v>
      </c>
      <c r="AH8" s="7">
        <v>0</v>
      </c>
      <c r="AI8" s="7">
        <v>1</v>
      </c>
      <c r="AJ8" s="7">
        <f t="shared" si="4"/>
        <v>1</v>
      </c>
      <c r="AK8" s="33"/>
      <c r="AL8" s="7">
        <v>0</v>
      </c>
      <c r="AM8" s="7">
        <v>0</v>
      </c>
      <c r="AN8" s="7">
        <v>0</v>
      </c>
      <c r="AO8" s="7">
        <f t="shared" si="9"/>
        <v>0</v>
      </c>
      <c r="AP8" s="33"/>
      <c r="AQ8" s="7">
        <f t="shared" ref="AQ8:AS10" si="12">R8+H8+M8+W8+AG8+AL8</f>
        <v>30</v>
      </c>
      <c r="AR8" s="7">
        <f t="shared" si="12"/>
        <v>34</v>
      </c>
      <c r="AS8" s="7">
        <f t="shared" si="12"/>
        <v>20</v>
      </c>
      <c r="AT8" s="7">
        <f t="shared" si="10"/>
        <v>84</v>
      </c>
      <c r="AU8" s="33"/>
      <c r="AV8" s="7">
        <f t="shared" ref="AV8:AX10" si="13">C8+R8+H8+M8+W8+AB8+AG8+AL8</f>
        <v>72</v>
      </c>
      <c r="AW8" s="7">
        <f t="shared" si="13"/>
        <v>82</v>
      </c>
      <c r="AX8" s="7">
        <f t="shared" si="13"/>
        <v>63</v>
      </c>
      <c r="AY8" s="7">
        <f t="shared" si="11"/>
        <v>217</v>
      </c>
    </row>
    <row r="9" spans="1:51" x14ac:dyDescent="0.25">
      <c r="A9" s="5">
        <v>31</v>
      </c>
      <c r="B9" s="6">
        <v>45474</v>
      </c>
      <c r="C9" s="7">
        <v>47</v>
      </c>
      <c r="D9" s="7">
        <v>43</v>
      </c>
      <c r="E9" s="7">
        <v>49</v>
      </c>
      <c r="F9" s="7">
        <f t="shared" si="0"/>
        <v>139</v>
      </c>
      <c r="G9" s="35"/>
      <c r="H9" s="7">
        <v>11</v>
      </c>
      <c r="I9" s="7">
        <v>11</v>
      </c>
      <c r="J9" s="7">
        <v>7</v>
      </c>
      <c r="K9" s="7">
        <f t="shared" si="7"/>
        <v>29</v>
      </c>
      <c r="L9" s="33"/>
      <c r="M9" s="7">
        <v>4</v>
      </c>
      <c r="N9" s="7">
        <v>3</v>
      </c>
      <c r="O9" s="7">
        <v>1</v>
      </c>
      <c r="P9" s="7">
        <f t="shared" si="1"/>
        <v>8</v>
      </c>
      <c r="Q9" s="33"/>
      <c r="R9" s="7">
        <v>15</v>
      </c>
      <c r="S9" s="7">
        <v>10</v>
      </c>
      <c r="T9" s="7">
        <v>8</v>
      </c>
      <c r="U9" s="7">
        <f t="shared" si="2"/>
        <v>33</v>
      </c>
      <c r="V9" s="33"/>
      <c r="W9" s="7">
        <v>5</v>
      </c>
      <c r="X9" s="7">
        <v>5</v>
      </c>
      <c r="Y9" s="7">
        <v>8</v>
      </c>
      <c r="Z9" s="7">
        <f t="shared" si="3"/>
        <v>18</v>
      </c>
      <c r="AA9" s="33"/>
      <c r="AB9" s="7">
        <v>2</v>
      </c>
      <c r="AC9" s="7">
        <v>1</v>
      </c>
      <c r="AD9" s="7">
        <v>3</v>
      </c>
      <c r="AE9" s="7">
        <f t="shared" si="8"/>
        <v>6</v>
      </c>
      <c r="AF9" s="33"/>
      <c r="AG9" s="7">
        <v>0</v>
      </c>
      <c r="AH9" s="7">
        <v>1</v>
      </c>
      <c r="AI9" s="7">
        <v>0</v>
      </c>
      <c r="AJ9" s="7">
        <f t="shared" si="4"/>
        <v>1</v>
      </c>
      <c r="AK9" s="33"/>
      <c r="AL9" s="7">
        <v>1</v>
      </c>
      <c r="AM9" s="7">
        <v>0</v>
      </c>
      <c r="AN9" s="7">
        <v>1</v>
      </c>
      <c r="AO9" s="7">
        <f t="shared" si="9"/>
        <v>2</v>
      </c>
      <c r="AP9" s="33"/>
      <c r="AQ9" s="7">
        <f t="shared" si="12"/>
        <v>36</v>
      </c>
      <c r="AR9" s="7">
        <f t="shared" si="12"/>
        <v>30</v>
      </c>
      <c r="AS9" s="7">
        <f t="shared" si="12"/>
        <v>25</v>
      </c>
      <c r="AT9" s="7">
        <f t="shared" si="10"/>
        <v>91</v>
      </c>
      <c r="AU9" s="33"/>
      <c r="AV9" s="7">
        <f t="shared" si="13"/>
        <v>85</v>
      </c>
      <c r="AW9" s="7">
        <f t="shared" si="13"/>
        <v>74</v>
      </c>
      <c r="AX9" s="7">
        <f t="shared" si="13"/>
        <v>77</v>
      </c>
      <c r="AY9" s="7">
        <f t="shared" si="11"/>
        <v>236</v>
      </c>
    </row>
    <row r="10" spans="1:51" x14ac:dyDescent="0.25">
      <c r="A10" s="5">
        <v>31</v>
      </c>
      <c r="B10" s="6">
        <v>45505</v>
      </c>
      <c r="C10" s="7">
        <v>47</v>
      </c>
      <c r="D10" s="7">
        <v>50</v>
      </c>
      <c r="E10" s="7">
        <v>50</v>
      </c>
      <c r="F10" s="7">
        <f t="shared" si="0"/>
        <v>147</v>
      </c>
      <c r="G10" s="35"/>
      <c r="H10" s="7">
        <v>10</v>
      </c>
      <c r="I10" s="7">
        <v>12</v>
      </c>
      <c r="J10" s="7">
        <v>4</v>
      </c>
      <c r="K10" s="7">
        <f t="shared" si="7"/>
        <v>26</v>
      </c>
      <c r="L10" s="33"/>
      <c r="M10" s="7">
        <v>2</v>
      </c>
      <c r="N10" s="7">
        <v>3</v>
      </c>
      <c r="O10" s="7">
        <v>2</v>
      </c>
      <c r="P10" s="7">
        <f t="shared" si="1"/>
        <v>7</v>
      </c>
      <c r="Q10" s="33"/>
      <c r="R10" s="7">
        <v>9</v>
      </c>
      <c r="S10" s="7">
        <v>6</v>
      </c>
      <c r="T10" s="7">
        <v>12</v>
      </c>
      <c r="U10" s="7">
        <f t="shared" si="2"/>
        <v>27</v>
      </c>
      <c r="V10" s="33"/>
      <c r="W10" s="7">
        <v>6</v>
      </c>
      <c r="X10" s="7">
        <v>2</v>
      </c>
      <c r="Y10" s="7">
        <v>9</v>
      </c>
      <c r="Z10" s="7">
        <f t="shared" si="3"/>
        <v>17</v>
      </c>
      <c r="AA10" s="33"/>
      <c r="AB10" s="7">
        <v>3</v>
      </c>
      <c r="AC10" s="7">
        <v>3</v>
      </c>
      <c r="AD10" s="7">
        <v>2</v>
      </c>
      <c r="AE10" s="7">
        <f t="shared" si="8"/>
        <v>8</v>
      </c>
      <c r="AF10" s="33"/>
      <c r="AG10" s="7">
        <v>0</v>
      </c>
      <c r="AH10" s="7">
        <v>0</v>
      </c>
      <c r="AI10" s="7">
        <v>1</v>
      </c>
      <c r="AJ10" s="7">
        <f t="shared" si="4"/>
        <v>1</v>
      </c>
      <c r="AK10" s="33"/>
      <c r="AL10" s="7">
        <v>0</v>
      </c>
      <c r="AM10" s="7">
        <v>0</v>
      </c>
      <c r="AN10" s="7">
        <v>0</v>
      </c>
      <c r="AO10" s="7">
        <f t="shared" si="9"/>
        <v>0</v>
      </c>
      <c r="AP10" s="33"/>
      <c r="AQ10" s="7">
        <f t="shared" si="12"/>
        <v>27</v>
      </c>
      <c r="AR10" s="7">
        <f t="shared" si="12"/>
        <v>23</v>
      </c>
      <c r="AS10" s="7">
        <f t="shared" si="12"/>
        <v>28</v>
      </c>
      <c r="AT10" s="7">
        <f t="shared" si="10"/>
        <v>78</v>
      </c>
      <c r="AU10" s="33"/>
      <c r="AV10" s="7">
        <f t="shared" si="13"/>
        <v>77</v>
      </c>
      <c r="AW10" s="7">
        <f t="shared" si="13"/>
        <v>76</v>
      </c>
      <c r="AX10" s="7">
        <f t="shared" si="13"/>
        <v>80</v>
      </c>
      <c r="AY10" s="7">
        <f t="shared" si="11"/>
        <v>233</v>
      </c>
    </row>
    <row r="11" spans="1:51" x14ac:dyDescent="0.25">
      <c r="A11" s="5">
        <v>30</v>
      </c>
      <c r="B11" s="6">
        <v>45536</v>
      </c>
      <c r="C11" s="7">
        <v>41</v>
      </c>
      <c r="D11" s="7">
        <v>47</v>
      </c>
      <c r="E11" s="7">
        <v>42</v>
      </c>
      <c r="F11" s="7">
        <f t="shared" si="0"/>
        <v>130</v>
      </c>
      <c r="G11" s="35"/>
      <c r="H11" s="7">
        <v>7</v>
      </c>
      <c r="I11" s="7">
        <v>14</v>
      </c>
      <c r="J11" s="7">
        <v>5</v>
      </c>
      <c r="K11" s="7">
        <f t="shared" si="7"/>
        <v>26</v>
      </c>
      <c r="L11" s="33"/>
      <c r="M11" s="7">
        <v>2</v>
      </c>
      <c r="N11" s="7">
        <v>1</v>
      </c>
      <c r="O11" s="7">
        <v>2</v>
      </c>
      <c r="P11" s="7">
        <f t="shared" si="1"/>
        <v>5</v>
      </c>
      <c r="Q11" s="33"/>
      <c r="R11" s="7">
        <v>9</v>
      </c>
      <c r="S11" s="7">
        <v>7</v>
      </c>
      <c r="T11" s="7">
        <v>7</v>
      </c>
      <c r="U11" s="7">
        <f t="shared" si="2"/>
        <v>23</v>
      </c>
      <c r="V11" s="33"/>
      <c r="W11" s="18">
        <v>7</v>
      </c>
      <c r="X11" s="18">
        <v>6</v>
      </c>
      <c r="Y11" s="18">
        <v>3</v>
      </c>
      <c r="Z11" s="18">
        <f t="shared" si="3"/>
        <v>16</v>
      </c>
      <c r="AA11" s="33"/>
      <c r="AB11" s="7">
        <v>2</v>
      </c>
      <c r="AC11" s="7">
        <v>2</v>
      </c>
      <c r="AD11" s="7">
        <v>0</v>
      </c>
      <c r="AE11" s="7">
        <f t="shared" si="8"/>
        <v>4</v>
      </c>
      <c r="AF11" s="33"/>
      <c r="AG11" s="7">
        <v>0</v>
      </c>
      <c r="AH11" s="7">
        <v>0</v>
      </c>
      <c r="AI11" s="7">
        <v>0</v>
      </c>
      <c r="AJ11" s="7">
        <f t="shared" si="4"/>
        <v>0</v>
      </c>
      <c r="AK11" s="33"/>
      <c r="AL11" s="7">
        <v>0</v>
      </c>
      <c r="AM11" s="7">
        <v>0</v>
      </c>
      <c r="AN11" s="7">
        <v>0</v>
      </c>
      <c r="AO11" s="7">
        <f t="shared" si="9"/>
        <v>0</v>
      </c>
      <c r="AP11" s="33"/>
      <c r="AQ11" s="7">
        <f t="shared" ref="AQ11:AS13" si="14">R11+H11+M11+W11+AG11+AL11+AQ20</f>
        <v>25</v>
      </c>
      <c r="AR11" s="7">
        <f t="shared" si="14"/>
        <v>28</v>
      </c>
      <c r="AS11" s="7">
        <f t="shared" si="14"/>
        <v>17</v>
      </c>
      <c r="AT11" s="7">
        <f t="shared" si="10"/>
        <v>70</v>
      </c>
      <c r="AU11" s="33"/>
      <c r="AV11" s="7">
        <f t="shared" ref="AV11:AX13" si="15">C11+R11+H11+M11+W11+AB11+AG11+AL11+AQ20</f>
        <v>68</v>
      </c>
      <c r="AW11" s="7">
        <f t="shared" si="15"/>
        <v>77</v>
      </c>
      <c r="AX11" s="7">
        <f t="shared" si="15"/>
        <v>59</v>
      </c>
      <c r="AY11" s="7">
        <f t="shared" si="11"/>
        <v>204</v>
      </c>
    </row>
    <row r="12" spans="1:51" x14ac:dyDescent="0.25">
      <c r="A12" s="16">
        <v>31</v>
      </c>
      <c r="B12" s="17">
        <v>45566</v>
      </c>
      <c r="C12" s="18">
        <v>50</v>
      </c>
      <c r="D12" s="18">
        <v>43</v>
      </c>
      <c r="E12" s="18">
        <v>51</v>
      </c>
      <c r="F12" s="18">
        <f t="shared" si="0"/>
        <v>144</v>
      </c>
      <c r="G12" s="35"/>
      <c r="H12" s="18">
        <v>12</v>
      </c>
      <c r="I12" s="18">
        <v>11</v>
      </c>
      <c r="J12" s="18">
        <v>5</v>
      </c>
      <c r="K12" s="18">
        <f t="shared" si="7"/>
        <v>28</v>
      </c>
      <c r="L12" s="33"/>
      <c r="M12" s="18">
        <v>2</v>
      </c>
      <c r="N12" s="18">
        <v>2</v>
      </c>
      <c r="O12" s="18">
        <v>1</v>
      </c>
      <c r="P12" s="18">
        <f t="shared" si="1"/>
        <v>5</v>
      </c>
      <c r="Q12" s="33"/>
      <c r="R12" s="18">
        <v>11</v>
      </c>
      <c r="S12" s="18">
        <v>6</v>
      </c>
      <c r="T12" s="18">
        <v>10</v>
      </c>
      <c r="U12" s="18">
        <f t="shared" si="2"/>
        <v>27</v>
      </c>
      <c r="V12" s="33"/>
      <c r="W12" s="18">
        <v>7</v>
      </c>
      <c r="X12" s="18">
        <v>6</v>
      </c>
      <c r="Y12" s="18">
        <v>3</v>
      </c>
      <c r="Z12" s="18">
        <f t="shared" si="3"/>
        <v>16</v>
      </c>
      <c r="AA12" s="33"/>
      <c r="AB12" s="18">
        <v>2</v>
      </c>
      <c r="AC12" s="18">
        <v>1</v>
      </c>
      <c r="AD12" s="18">
        <v>1</v>
      </c>
      <c r="AE12" s="18">
        <f t="shared" si="8"/>
        <v>4</v>
      </c>
      <c r="AF12" s="33"/>
      <c r="AG12" s="18">
        <v>1</v>
      </c>
      <c r="AH12" s="18">
        <v>0</v>
      </c>
      <c r="AI12" s="18">
        <v>1</v>
      </c>
      <c r="AJ12" s="18">
        <f t="shared" si="4"/>
        <v>2</v>
      </c>
      <c r="AK12" s="33"/>
      <c r="AL12" s="18">
        <v>0</v>
      </c>
      <c r="AM12" s="18">
        <v>1</v>
      </c>
      <c r="AN12" s="18">
        <v>0</v>
      </c>
      <c r="AO12" s="18">
        <f t="shared" si="9"/>
        <v>1</v>
      </c>
      <c r="AP12" s="33"/>
      <c r="AQ12" s="18">
        <f t="shared" si="14"/>
        <v>33</v>
      </c>
      <c r="AR12" s="18">
        <f t="shared" si="14"/>
        <v>26</v>
      </c>
      <c r="AS12" s="18">
        <f t="shared" si="14"/>
        <v>20</v>
      </c>
      <c r="AT12" s="18">
        <f t="shared" ref="AT12" si="16">AQ12+AR12+AS12</f>
        <v>79</v>
      </c>
      <c r="AU12" s="33"/>
      <c r="AV12" s="18">
        <f t="shared" si="15"/>
        <v>85</v>
      </c>
      <c r="AW12" s="18">
        <f t="shared" si="15"/>
        <v>70</v>
      </c>
      <c r="AX12" s="18">
        <f t="shared" si="15"/>
        <v>72</v>
      </c>
      <c r="AY12" s="18">
        <f t="shared" ref="AY12" si="17">AV12+AW12+AX12</f>
        <v>227</v>
      </c>
    </row>
    <row r="13" spans="1:51" x14ac:dyDescent="0.25">
      <c r="A13" s="5">
        <v>30</v>
      </c>
      <c r="B13" s="6">
        <v>45597</v>
      </c>
      <c r="C13" s="7">
        <v>50</v>
      </c>
      <c r="D13" s="7">
        <v>44</v>
      </c>
      <c r="E13" s="7">
        <v>52</v>
      </c>
      <c r="F13" s="7">
        <f t="shared" si="0"/>
        <v>146</v>
      </c>
      <c r="G13" s="35"/>
      <c r="H13" s="7">
        <v>16</v>
      </c>
      <c r="I13" s="7">
        <v>13</v>
      </c>
      <c r="J13" s="7">
        <v>4</v>
      </c>
      <c r="K13" s="7">
        <f t="shared" si="7"/>
        <v>33</v>
      </c>
      <c r="L13" s="33"/>
      <c r="M13" s="7">
        <v>1</v>
      </c>
      <c r="N13" s="7">
        <v>2</v>
      </c>
      <c r="O13" s="7">
        <v>2</v>
      </c>
      <c r="P13" s="7">
        <f t="shared" si="1"/>
        <v>5</v>
      </c>
      <c r="Q13" s="33"/>
      <c r="R13" s="7">
        <v>11</v>
      </c>
      <c r="S13" s="7">
        <v>9</v>
      </c>
      <c r="T13" s="7">
        <v>7</v>
      </c>
      <c r="U13" s="7">
        <f t="shared" si="2"/>
        <v>27</v>
      </c>
      <c r="V13" s="33"/>
      <c r="W13" s="7">
        <v>7</v>
      </c>
      <c r="X13" s="7">
        <v>7</v>
      </c>
      <c r="Y13" s="7">
        <v>6</v>
      </c>
      <c r="Z13" s="7">
        <f t="shared" si="3"/>
        <v>20</v>
      </c>
      <c r="AA13" s="33"/>
      <c r="AB13" s="7">
        <v>2</v>
      </c>
      <c r="AC13" s="7">
        <v>1</v>
      </c>
      <c r="AD13" s="7">
        <v>3</v>
      </c>
      <c r="AE13" s="7">
        <f t="shared" si="8"/>
        <v>6</v>
      </c>
      <c r="AF13" s="33"/>
      <c r="AG13" s="7">
        <v>1</v>
      </c>
      <c r="AH13" s="7">
        <v>0</v>
      </c>
      <c r="AI13" s="7">
        <v>1</v>
      </c>
      <c r="AJ13" s="7">
        <f t="shared" si="4"/>
        <v>2</v>
      </c>
      <c r="AK13" s="33"/>
      <c r="AL13" s="7">
        <v>0</v>
      </c>
      <c r="AM13" s="7">
        <v>0</v>
      </c>
      <c r="AN13" s="7">
        <v>1</v>
      </c>
      <c r="AO13" s="7">
        <f t="shared" si="9"/>
        <v>1</v>
      </c>
      <c r="AP13" s="33"/>
      <c r="AQ13" s="7">
        <f t="shared" si="14"/>
        <v>36</v>
      </c>
      <c r="AR13" s="7">
        <f t="shared" si="14"/>
        <v>31</v>
      </c>
      <c r="AS13" s="7">
        <f t="shared" si="14"/>
        <v>21</v>
      </c>
      <c r="AT13" s="7">
        <f t="shared" ref="AT13" si="18">AQ13+AR13+AS13</f>
        <v>88</v>
      </c>
      <c r="AU13" s="33"/>
      <c r="AV13" s="7">
        <f t="shared" si="15"/>
        <v>88</v>
      </c>
      <c r="AW13" s="7">
        <f t="shared" si="15"/>
        <v>76</v>
      </c>
      <c r="AX13" s="7">
        <f t="shared" si="15"/>
        <v>76</v>
      </c>
      <c r="AY13" s="7">
        <f t="shared" ref="AY13" si="19">AV13+AW13+AX13</f>
        <v>240</v>
      </c>
    </row>
    <row r="14" spans="1:51" x14ac:dyDescent="0.25">
      <c r="A14" s="5">
        <v>31</v>
      </c>
      <c r="B14" s="6">
        <v>45627</v>
      </c>
      <c r="C14" s="7">
        <v>41</v>
      </c>
      <c r="D14" s="7">
        <v>37</v>
      </c>
      <c r="E14" s="7">
        <v>46</v>
      </c>
      <c r="F14" s="7">
        <f t="shared" si="0"/>
        <v>124</v>
      </c>
      <c r="G14" s="36"/>
      <c r="H14" s="7">
        <v>12</v>
      </c>
      <c r="I14" s="7">
        <v>11</v>
      </c>
      <c r="J14" s="7">
        <v>9</v>
      </c>
      <c r="K14" s="7">
        <f t="shared" si="7"/>
        <v>32</v>
      </c>
      <c r="L14" s="34"/>
      <c r="M14" s="7">
        <v>2</v>
      </c>
      <c r="N14" s="7">
        <v>2</v>
      </c>
      <c r="O14" s="7">
        <v>0</v>
      </c>
      <c r="P14" s="7">
        <f t="shared" si="1"/>
        <v>4</v>
      </c>
      <c r="Q14" s="34"/>
      <c r="R14" s="7">
        <v>11</v>
      </c>
      <c r="S14" s="7">
        <v>6</v>
      </c>
      <c r="T14" s="7">
        <v>13</v>
      </c>
      <c r="U14" s="7">
        <f t="shared" si="2"/>
        <v>30</v>
      </c>
      <c r="V14" s="34"/>
      <c r="W14" s="7">
        <v>8</v>
      </c>
      <c r="X14" s="7">
        <v>5</v>
      </c>
      <c r="Y14" s="7">
        <v>4</v>
      </c>
      <c r="Z14" s="7">
        <f t="shared" si="3"/>
        <v>17</v>
      </c>
      <c r="AA14" s="34"/>
      <c r="AB14" s="7">
        <v>3</v>
      </c>
      <c r="AC14" s="7">
        <v>2</v>
      </c>
      <c r="AD14" s="7">
        <v>3</v>
      </c>
      <c r="AE14" s="7">
        <f t="shared" si="8"/>
        <v>8</v>
      </c>
      <c r="AF14" s="34"/>
      <c r="AG14" s="7">
        <v>0</v>
      </c>
      <c r="AH14" s="7">
        <v>0</v>
      </c>
      <c r="AI14" s="7">
        <v>0</v>
      </c>
      <c r="AJ14" s="7">
        <f t="shared" si="4"/>
        <v>0</v>
      </c>
      <c r="AK14" s="34"/>
      <c r="AL14" s="7">
        <v>1</v>
      </c>
      <c r="AM14" s="7">
        <v>0</v>
      </c>
      <c r="AN14" s="7">
        <v>0</v>
      </c>
      <c r="AO14" s="7">
        <f t="shared" si="9"/>
        <v>1</v>
      </c>
      <c r="AP14" s="34"/>
      <c r="AQ14" s="7">
        <f t="shared" ref="AQ14" si="20">R14+H14+M14+W14+AG14+AL14+AQ23</f>
        <v>34</v>
      </c>
      <c r="AR14" s="7">
        <f t="shared" ref="AR14" si="21">S14+I14+N14+X14+AH14+AM14+AR23</f>
        <v>24</v>
      </c>
      <c r="AS14" s="7">
        <f t="shared" ref="AS14" si="22">T14+J14+O14+Y14+AI14+AN14+AS23</f>
        <v>26</v>
      </c>
      <c r="AT14" s="7">
        <f t="shared" ref="AT14" si="23">AQ14+AR14+AS14</f>
        <v>84</v>
      </c>
      <c r="AU14" s="34"/>
      <c r="AV14" s="7">
        <f t="shared" ref="AV14" si="24">C14+R14+H14+M14+W14+AB14+AG14+AL14+AQ23</f>
        <v>78</v>
      </c>
      <c r="AW14" s="7">
        <f t="shared" ref="AW14" si="25">D14+S14+I14+N14+X14+AC14+AH14+AM14+AR23</f>
        <v>63</v>
      </c>
      <c r="AX14" s="7">
        <f t="shared" ref="AX14" si="26">E14+T14+J14+O14+Y14+AD14+AI14+AN14+AS23</f>
        <v>75</v>
      </c>
      <c r="AY14" s="7">
        <f t="shared" ref="AY14" si="27">AV14+AW14+AX14</f>
        <v>216</v>
      </c>
    </row>
    <row r="15" spans="1:51" x14ac:dyDescent="0.25">
      <c r="B15" s="8"/>
      <c r="C15" s="9">
        <f>AVERAGE(C3:C7)</f>
        <v>45.2</v>
      </c>
      <c r="D15" s="9">
        <f t="shared" ref="D15:AY15" si="28">AVERAGE(D3:D7)</f>
        <v>48.6</v>
      </c>
      <c r="E15" s="9">
        <f t="shared" si="28"/>
        <v>45.8</v>
      </c>
      <c r="F15" s="9">
        <f t="shared" si="28"/>
        <v>139.6</v>
      </c>
      <c r="G15" s="9"/>
      <c r="H15" s="9">
        <f t="shared" si="28"/>
        <v>12.6</v>
      </c>
      <c r="I15" s="9">
        <f t="shared" si="28"/>
        <v>13</v>
      </c>
      <c r="J15" s="9">
        <f t="shared" si="28"/>
        <v>8</v>
      </c>
      <c r="K15" s="9">
        <f t="shared" si="28"/>
        <v>33.6</v>
      </c>
      <c r="L15" s="9"/>
      <c r="M15" s="9">
        <f t="shared" si="28"/>
        <v>2</v>
      </c>
      <c r="N15" s="9">
        <v>1</v>
      </c>
      <c r="O15" s="9">
        <f t="shared" si="28"/>
        <v>1.8</v>
      </c>
      <c r="P15" s="9">
        <f t="shared" si="28"/>
        <v>7</v>
      </c>
      <c r="Q15" s="9"/>
      <c r="R15" s="9">
        <f>AVERAGE(R3:R7)</f>
        <v>7.4</v>
      </c>
      <c r="S15" s="9">
        <f>AVERAGE(S3:S7)</f>
        <v>8.6</v>
      </c>
      <c r="T15" s="9">
        <f>AVERAGE(T3:T7)</f>
        <v>7.6</v>
      </c>
      <c r="U15" s="9">
        <f>AVERAGE(U3:U7)</f>
        <v>23.6</v>
      </c>
      <c r="V15" s="9"/>
      <c r="W15" s="9">
        <f t="shared" si="28"/>
        <v>7</v>
      </c>
      <c r="X15" s="9">
        <f t="shared" si="28"/>
        <v>6.6</v>
      </c>
      <c r="Y15" s="9">
        <f t="shared" si="28"/>
        <v>6.6</v>
      </c>
      <c r="Z15" s="9">
        <f t="shared" si="28"/>
        <v>20.2</v>
      </c>
      <c r="AA15" s="9"/>
      <c r="AB15" s="9">
        <f t="shared" si="28"/>
        <v>1.8</v>
      </c>
      <c r="AC15" s="9">
        <f t="shared" si="28"/>
        <v>1.8</v>
      </c>
      <c r="AD15" s="9">
        <f>AVERAGE(AD3:AD11)</f>
        <v>1.7777777777777777</v>
      </c>
      <c r="AE15" s="9">
        <f t="shared" si="28"/>
        <v>5.6</v>
      </c>
      <c r="AF15" s="9"/>
      <c r="AG15" s="9">
        <f t="shared" si="28"/>
        <v>0.4</v>
      </c>
      <c r="AH15" s="9">
        <f t="shared" si="28"/>
        <v>1.2</v>
      </c>
      <c r="AI15" s="9">
        <f t="shared" si="28"/>
        <v>0.6</v>
      </c>
      <c r="AJ15" s="9">
        <f t="shared" si="28"/>
        <v>2.2000000000000002</v>
      </c>
      <c r="AK15" s="9"/>
      <c r="AL15" s="9">
        <f>AVERAGE(AL3:AL11)</f>
        <v>0.22222222222222221</v>
      </c>
      <c r="AM15" s="9">
        <f>AVERAGE(AM3:AM11)</f>
        <v>0.55555555555555558</v>
      </c>
      <c r="AN15" s="9">
        <f>AVERAGE(AN3:AN11)</f>
        <v>0.44444444444444442</v>
      </c>
      <c r="AO15" s="9">
        <f t="shared" si="28"/>
        <v>1.8</v>
      </c>
      <c r="AP15" s="9"/>
      <c r="AQ15" s="9">
        <f t="shared" si="28"/>
        <v>29.6</v>
      </c>
      <c r="AR15" s="9">
        <f t="shared" si="28"/>
        <v>33.6</v>
      </c>
      <c r="AS15" s="9">
        <f t="shared" si="28"/>
        <v>25.2</v>
      </c>
      <c r="AT15" s="9">
        <f t="shared" si="28"/>
        <v>86.2</v>
      </c>
      <c r="AU15" s="9"/>
      <c r="AV15" s="9">
        <f t="shared" si="28"/>
        <v>76.599999999999994</v>
      </c>
      <c r="AW15" s="9">
        <f t="shared" si="28"/>
        <v>84</v>
      </c>
      <c r="AX15" s="9">
        <f t="shared" si="28"/>
        <v>73</v>
      </c>
      <c r="AY15" s="9">
        <f t="shared" si="28"/>
        <v>233</v>
      </c>
    </row>
    <row r="18" spans="42:46" x14ac:dyDescent="0.25">
      <c r="AQ18" s="27" t="s">
        <v>19</v>
      </c>
      <c r="AR18" s="28"/>
      <c r="AS18" s="28"/>
      <c r="AT18" s="28"/>
    </row>
    <row r="19" spans="42:46" x14ac:dyDescent="0.25">
      <c r="AQ19" t="s">
        <v>16</v>
      </c>
      <c r="AR19" t="s">
        <v>20</v>
      </c>
      <c r="AS19" t="s">
        <v>21</v>
      </c>
      <c r="AT19" t="s">
        <v>10</v>
      </c>
    </row>
    <row r="20" spans="42:46" x14ac:dyDescent="0.25">
      <c r="AP20" s="15">
        <v>45536</v>
      </c>
      <c r="AQ20" s="14">
        <v>0</v>
      </c>
      <c r="AR20" s="14">
        <v>0</v>
      </c>
      <c r="AS20" s="14">
        <v>0</v>
      </c>
      <c r="AT20" s="14">
        <f>AQ20+AR20+AS20</f>
        <v>0</v>
      </c>
    </row>
    <row r="21" spans="42:46" x14ac:dyDescent="0.25">
      <c r="AP21" s="15">
        <v>45566</v>
      </c>
      <c r="AQ21" s="14">
        <v>0</v>
      </c>
      <c r="AR21" s="14">
        <v>0</v>
      </c>
      <c r="AS21" s="14">
        <v>0</v>
      </c>
      <c r="AT21" s="14">
        <f>AQ21+AR21+AS21</f>
        <v>0</v>
      </c>
    </row>
    <row r="22" spans="42:46" x14ac:dyDescent="0.25">
      <c r="AP22" s="15">
        <v>45597</v>
      </c>
      <c r="AQ22" s="14">
        <v>0</v>
      </c>
      <c r="AR22" s="14">
        <v>0</v>
      </c>
      <c r="AS22" s="14">
        <v>0</v>
      </c>
      <c r="AT22" s="14">
        <f>AQ22+AR22+AS22</f>
        <v>0</v>
      </c>
    </row>
    <row r="23" spans="42:46" x14ac:dyDescent="0.25">
      <c r="AP23" s="15">
        <v>45627</v>
      </c>
      <c r="AQ23" s="14">
        <v>0</v>
      </c>
      <c r="AR23" s="14">
        <v>0</v>
      </c>
      <c r="AS23" s="14">
        <v>0</v>
      </c>
      <c r="AT23" s="14">
        <f>AQ23+AR23+AS23</f>
        <v>0</v>
      </c>
    </row>
  </sheetData>
  <mergeCells count="21">
    <mergeCell ref="A1:B1"/>
    <mergeCell ref="C1:F1"/>
    <mergeCell ref="G1:G14"/>
    <mergeCell ref="R1:U1"/>
    <mergeCell ref="L1:L14"/>
    <mergeCell ref="M1:P1"/>
    <mergeCell ref="Q1:Q14"/>
    <mergeCell ref="H1:K1"/>
    <mergeCell ref="AQ18:AT18"/>
    <mergeCell ref="AU1:AU14"/>
    <mergeCell ref="AV1:AY1"/>
    <mergeCell ref="V1:V14"/>
    <mergeCell ref="W1:Z1"/>
    <mergeCell ref="AF1:AF14"/>
    <mergeCell ref="AG1:AJ1"/>
    <mergeCell ref="AQ1:AT1"/>
    <mergeCell ref="AL1:AO1"/>
    <mergeCell ref="AP1:AP14"/>
    <mergeCell ref="AA1:AA14"/>
    <mergeCell ref="AB1:AE1"/>
    <mergeCell ref="AK1:AK14"/>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34F4-72E4-4095-BBAE-1713D2A5C330}">
  <dimension ref="A1:AY31"/>
  <sheetViews>
    <sheetView zoomScaleNormal="100" workbookViewId="0">
      <selection activeCell="AQ29" sqref="AQ29"/>
    </sheetView>
  </sheetViews>
  <sheetFormatPr defaultRowHeight="15" x14ac:dyDescent="0.25"/>
  <sheetData>
    <row r="1" spans="1:51" x14ac:dyDescent="0.25">
      <c r="A1" s="30"/>
      <c r="B1" s="31"/>
      <c r="C1" s="27" t="s">
        <v>1</v>
      </c>
      <c r="D1" s="28"/>
      <c r="E1" s="28"/>
      <c r="F1" s="29"/>
      <c r="G1" s="19"/>
      <c r="H1" s="27" t="s">
        <v>12</v>
      </c>
      <c r="I1" s="28"/>
      <c r="J1" s="28"/>
      <c r="K1" s="29"/>
      <c r="L1" s="20"/>
      <c r="M1" s="27" t="s">
        <v>13</v>
      </c>
      <c r="N1" s="28"/>
      <c r="O1" s="28"/>
      <c r="P1" s="29"/>
      <c r="Q1" s="20"/>
      <c r="R1" s="27" t="s">
        <v>2</v>
      </c>
      <c r="S1" s="28"/>
      <c r="T1" s="28"/>
      <c r="U1" s="29"/>
      <c r="V1" s="21"/>
      <c r="W1" s="27" t="s">
        <v>3</v>
      </c>
      <c r="X1" s="28"/>
      <c r="Y1" s="28"/>
      <c r="Z1" s="29"/>
      <c r="AA1" s="20"/>
      <c r="AB1" s="27" t="s">
        <v>11</v>
      </c>
      <c r="AC1" s="28"/>
      <c r="AD1" s="28"/>
      <c r="AE1" s="28"/>
      <c r="AF1" s="20"/>
      <c r="AG1" s="27" t="s">
        <v>4</v>
      </c>
      <c r="AH1" s="28"/>
      <c r="AI1" s="28"/>
      <c r="AJ1" s="28"/>
      <c r="AK1" s="20"/>
      <c r="AL1" s="27" t="s">
        <v>14</v>
      </c>
      <c r="AM1" s="28"/>
      <c r="AN1" s="28"/>
      <c r="AO1" s="28"/>
      <c r="AP1" s="20"/>
      <c r="AQ1" s="27" t="s">
        <v>15</v>
      </c>
      <c r="AR1" s="28"/>
      <c r="AS1" s="28"/>
      <c r="AT1" s="28"/>
      <c r="AU1" s="20"/>
      <c r="AV1" s="27" t="s">
        <v>18</v>
      </c>
      <c r="AW1" s="28"/>
      <c r="AX1" s="28"/>
      <c r="AY1" s="28"/>
    </row>
    <row r="2" spans="1:51" x14ac:dyDescent="0.25">
      <c r="A2" s="2" t="s">
        <v>5</v>
      </c>
      <c r="B2" s="2" t="s">
        <v>6</v>
      </c>
      <c r="C2" s="3" t="s">
        <v>7</v>
      </c>
      <c r="D2" s="3" t="s">
        <v>8</v>
      </c>
      <c r="E2" s="3" t="s">
        <v>9</v>
      </c>
      <c r="F2" s="4" t="s">
        <v>10</v>
      </c>
      <c r="G2" s="19"/>
      <c r="H2" s="3" t="s">
        <v>7</v>
      </c>
      <c r="I2" s="3" t="s">
        <v>8</v>
      </c>
      <c r="J2" s="3" t="s">
        <v>9</v>
      </c>
      <c r="K2" s="4" t="s">
        <v>10</v>
      </c>
      <c r="L2" s="21"/>
      <c r="M2" s="3" t="s">
        <v>7</v>
      </c>
      <c r="N2" s="3" t="s">
        <v>8</v>
      </c>
      <c r="O2" s="3" t="s">
        <v>9</v>
      </c>
      <c r="P2" s="4" t="s">
        <v>10</v>
      </c>
      <c r="Q2" s="21"/>
      <c r="R2" s="3" t="s">
        <v>7</v>
      </c>
      <c r="S2" s="3" t="s">
        <v>8</v>
      </c>
      <c r="T2" s="3" t="s">
        <v>9</v>
      </c>
      <c r="U2" s="4" t="s">
        <v>10</v>
      </c>
      <c r="V2" s="21"/>
      <c r="W2" s="3" t="s">
        <v>7</v>
      </c>
      <c r="X2" s="3" t="s">
        <v>8</v>
      </c>
      <c r="Y2" s="3" t="s">
        <v>9</v>
      </c>
      <c r="Z2" s="4" t="s">
        <v>10</v>
      </c>
      <c r="AA2" s="21"/>
      <c r="AB2" s="3" t="s">
        <v>7</v>
      </c>
      <c r="AC2" s="3" t="s">
        <v>8</v>
      </c>
      <c r="AD2" s="3" t="s">
        <v>9</v>
      </c>
      <c r="AE2" s="4" t="s">
        <v>10</v>
      </c>
      <c r="AF2" s="21"/>
      <c r="AG2" s="3" t="s">
        <v>7</v>
      </c>
      <c r="AH2" s="3" t="s">
        <v>8</v>
      </c>
      <c r="AI2" s="3" t="s">
        <v>9</v>
      </c>
      <c r="AJ2" s="4" t="s">
        <v>10</v>
      </c>
      <c r="AK2" s="21"/>
      <c r="AL2" s="3" t="s">
        <v>16</v>
      </c>
      <c r="AM2" s="3" t="s">
        <v>17</v>
      </c>
      <c r="AN2" s="3" t="s">
        <v>9</v>
      </c>
      <c r="AO2" s="4" t="s">
        <v>10</v>
      </c>
      <c r="AP2" s="21"/>
      <c r="AQ2" s="3" t="s">
        <v>16</v>
      </c>
      <c r="AR2" s="3" t="s">
        <v>17</v>
      </c>
      <c r="AS2" s="3" t="s">
        <v>9</v>
      </c>
      <c r="AT2" s="4" t="s">
        <v>10</v>
      </c>
      <c r="AU2" s="21"/>
      <c r="AV2" s="3" t="s">
        <v>16</v>
      </c>
      <c r="AW2" s="3" t="s">
        <v>17</v>
      </c>
      <c r="AX2" s="3" t="s">
        <v>9</v>
      </c>
      <c r="AY2" s="4" t="s">
        <v>10</v>
      </c>
    </row>
    <row r="3" spans="1:51" x14ac:dyDescent="0.25">
      <c r="A3" s="5">
        <v>31</v>
      </c>
      <c r="B3" s="6">
        <v>45292</v>
      </c>
      <c r="C3" s="7">
        <v>44</v>
      </c>
      <c r="D3" s="7">
        <v>37</v>
      </c>
      <c r="E3" s="7">
        <v>43</v>
      </c>
      <c r="F3" s="7">
        <f t="shared" ref="F3:F14" si="0">C3+D3+E3</f>
        <v>124</v>
      </c>
      <c r="G3" s="19"/>
      <c r="H3" s="7">
        <v>11</v>
      </c>
      <c r="I3" s="7">
        <v>10</v>
      </c>
      <c r="J3" s="7">
        <v>7</v>
      </c>
      <c r="K3" s="7">
        <f>H3+I3+J3</f>
        <v>28</v>
      </c>
      <c r="L3" s="21"/>
      <c r="M3" s="7">
        <v>1</v>
      </c>
      <c r="N3" s="7">
        <v>1</v>
      </c>
      <c r="O3" s="7">
        <v>1</v>
      </c>
      <c r="P3" s="7">
        <f t="shared" ref="P3:P14" si="1">M3+N3+O3</f>
        <v>3</v>
      </c>
      <c r="Q3" s="21"/>
      <c r="R3" s="7">
        <v>11</v>
      </c>
      <c r="S3" s="7">
        <v>9</v>
      </c>
      <c r="T3" s="7">
        <v>13</v>
      </c>
      <c r="U3" s="7">
        <f t="shared" ref="U3:U14" si="2">R3+T3+S3</f>
        <v>33</v>
      </c>
      <c r="V3" s="21"/>
      <c r="W3" s="7">
        <v>8</v>
      </c>
      <c r="X3" s="7">
        <v>4</v>
      </c>
      <c r="Y3" s="7">
        <v>5</v>
      </c>
      <c r="Z3" s="7">
        <f t="shared" ref="Z3:Z14" si="3">W3+X3+Y3</f>
        <v>17</v>
      </c>
      <c r="AA3" s="21"/>
      <c r="AB3" s="7">
        <v>0</v>
      </c>
      <c r="AC3" s="7">
        <v>2</v>
      </c>
      <c r="AD3" s="7">
        <v>6</v>
      </c>
      <c r="AE3" s="7">
        <f>AB3+AC3+AD3</f>
        <v>8</v>
      </c>
      <c r="AF3" s="21"/>
      <c r="AG3" s="7">
        <v>0</v>
      </c>
      <c r="AH3" s="7">
        <v>1</v>
      </c>
      <c r="AI3" s="7">
        <v>1</v>
      </c>
      <c r="AJ3" s="7">
        <f t="shared" ref="AJ3:AJ14" si="4">AG3+AH3+AI3</f>
        <v>2</v>
      </c>
      <c r="AK3" s="21"/>
      <c r="AL3" s="7">
        <v>0</v>
      </c>
      <c r="AM3" s="7">
        <v>0</v>
      </c>
      <c r="AN3" s="7">
        <v>3</v>
      </c>
      <c r="AO3" s="7">
        <f>AL3+AM3+AN3</f>
        <v>3</v>
      </c>
      <c r="AP3" s="21"/>
      <c r="AQ3" s="7">
        <f t="shared" ref="AQ3:AS8" si="5">R3+H3+M3+W3+AG3+AL3+AQ20</f>
        <v>31</v>
      </c>
      <c r="AR3" s="7">
        <f t="shared" si="5"/>
        <v>25</v>
      </c>
      <c r="AS3" s="7">
        <f t="shared" si="5"/>
        <v>30</v>
      </c>
      <c r="AT3" s="7">
        <f>AQ3+AR3+AS3</f>
        <v>86</v>
      </c>
      <c r="AU3" s="21"/>
      <c r="AV3" s="7">
        <f>C3+R3+H3+M3+W3+AB3+AG3+AL3</f>
        <v>75</v>
      </c>
      <c r="AW3" s="7">
        <f t="shared" ref="AW3:AX3" si="6">D3+S3+I3+N3+X3+AC3+AH3+AM3</f>
        <v>64</v>
      </c>
      <c r="AX3" s="7">
        <f t="shared" si="6"/>
        <v>79</v>
      </c>
      <c r="AY3" s="7">
        <f>AV3+AW3+AX3</f>
        <v>218</v>
      </c>
    </row>
    <row r="4" spans="1:51" x14ac:dyDescent="0.25">
      <c r="A4" s="5">
        <v>29</v>
      </c>
      <c r="B4" s="6">
        <v>45323</v>
      </c>
      <c r="C4" s="7">
        <v>42</v>
      </c>
      <c r="D4" s="7">
        <v>43</v>
      </c>
      <c r="E4" s="7">
        <v>37</v>
      </c>
      <c r="F4" s="7">
        <f t="shared" si="0"/>
        <v>122</v>
      </c>
      <c r="G4" s="19"/>
      <c r="H4" s="7">
        <v>11</v>
      </c>
      <c r="I4" s="7">
        <v>9</v>
      </c>
      <c r="J4" s="7">
        <v>8</v>
      </c>
      <c r="K4" s="7">
        <f t="shared" ref="K4:K14" si="7">H4+I4+J4</f>
        <v>28</v>
      </c>
      <c r="L4" s="21"/>
      <c r="M4" s="7">
        <v>5</v>
      </c>
      <c r="N4" s="7">
        <v>3</v>
      </c>
      <c r="O4" s="7">
        <v>0</v>
      </c>
      <c r="P4" s="7">
        <f t="shared" si="1"/>
        <v>8</v>
      </c>
      <c r="Q4" s="21"/>
      <c r="R4" s="7">
        <v>5</v>
      </c>
      <c r="S4" s="7">
        <v>11</v>
      </c>
      <c r="T4" s="7">
        <v>4</v>
      </c>
      <c r="U4" s="7">
        <f t="shared" si="2"/>
        <v>20</v>
      </c>
      <c r="V4" s="21"/>
      <c r="W4" s="7">
        <v>6</v>
      </c>
      <c r="X4" s="7">
        <v>6</v>
      </c>
      <c r="Y4" s="7">
        <v>4</v>
      </c>
      <c r="Z4" s="7">
        <f t="shared" si="3"/>
        <v>16</v>
      </c>
      <c r="AA4" s="21"/>
      <c r="AB4" s="7">
        <v>2</v>
      </c>
      <c r="AC4" s="7">
        <v>4</v>
      </c>
      <c r="AD4" s="7">
        <v>0</v>
      </c>
      <c r="AE4" s="7">
        <f t="shared" ref="AE4:AE14" si="8">AB4+AC4+AD4</f>
        <v>6</v>
      </c>
      <c r="AF4" s="21"/>
      <c r="AG4" s="7">
        <v>2</v>
      </c>
      <c r="AH4" s="7">
        <v>2</v>
      </c>
      <c r="AI4" s="7">
        <v>0</v>
      </c>
      <c r="AJ4" s="7">
        <f t="shared" si="4"/>
        <v>4</v>
      </c>
      <c r="AK4" s="21"/>
      <c r="AL4" s="7">
        <v>0</v>
      </c>
      <c r="AM4" s="7">
        <v>0</v>
      </c>
      <c r="AN4" s="7">
        <v>0</v>
      </c>
      <c r="AO4" s="7">
        <f>AL3+AM4+AN4</f>
        <v>0</v>
      </c>
      <c r="AP4" s="21"/>
      <c r="AQ4" s="7">
        <f t="shared" si="5"/>
        <v>29</v>
      </c>
      <c r="AR4" s="7">
        <f t="shared" si="5"/>
        <v>31</v>
      </c>
      <c r="AS4" s="7">
        <f t="shared" si="5"/>
        <v>16</v>
      </c>
      <c r="AT4" s="7">
        <f>AQ4+AR4+AS4</f>
        <v>76</v>
      </c>
      <c r="AU4" s="21"/>
      <c r="AV4" s="7">
        <f t="shared" ref="AV4:AX8" si="9">C4+R4+H4+M4+W4+AB4+AG4+AL4+AQ21</f>
        <v>73</v>
      </c>
      <c r="AW4" s="7">
        <f t="shared" si="9"/>
        <v>78</v>
      </c>
      <c r="AX4" s="7">
        <f t="shared" si="9"/>
        <v>53</v>
      </c>
      <c r="AY4" s="7">
        <f>AV4+AW4+AX4</f>
        <v>204</v>
      </c>
    </row>
    <row r="5" spans="1:51" x14ac:dyDescent="0.25">
      <c r="A5" s="5">
        <v>31</v>
      </c>
      <c r="B5" s="6">
        <v>45352</v>
      </c>
      <c r="C5" s="7">
        <v>35</v>
      </c>
      <c r="D5" s="7">
        <v>41</v>
      </c>
      <c r="E5" s="7">
        <v>46</v>
      </c>
      <c r="F5" s="7">
        <f t="shared" si="0"/>
        <v>122</v>
      </c>
      <c r="G5" s="19"/>
      <c r="H5" s="7">
        <v>17</v>
      </c>
      <c r="I5" s="7">
        <v>11</v>
      </c>
      <c r="J5" s="7">
        <v>4</v>
      </c>
      <c r="K5" s="7">
        <f t="shared" si="7"/>
        <v>32</v>
      </c>
      <c r="L5" s="21"/>
      <c r="M5" s="7">
        <v>5</v>
      </c>
      <c r="N5" s="7">
        <v>3</v>
      </c>
      <c r="O5" s="7">
        <v>1</v>
      </c>
      <c r="P5" s="7">
        <f t="shared" si="1"/>
        <v>9</v>
      </c>
      <c r="Q5" s="21"/>
      <c r="R5" s="7">
        <v>12</v>
      </c>
      <c r="S5" s="7">
        <v>12</v>
      </c>
      <c r="T5" s="7">
        <v>6</v>
      </c>
      <c r="U5" s="7">
        <f t="shared" si="2"/>
        <v>30</v>
      </c>
      <c r="V5" s="21"/>
      <c r="W5" s="7">
        <v>9</v>
      </c>
      <c r="X5" s="7">
        <v>11</v>
      </c>
      <c r="Y5" s="7">
        <v>6</v>
      </c>
      <c r="Z5" s="7">
        <f t="shared" si="3"/>
        <v>26</v>
      </c>
      <c r="AA5" s="21"/>
      <c r="AB5" s="7">
        <v>1</v>
      </c>
      <c r="AC5" s="7">
        <v>2</v>
      </c>
      <c r="AD5" s="7">
        <v>1</v>
      </c>
      <c r="AE5" s="7">
        <f t="shared" si="8"/>
        <v>4</v>
      </c>
      <c r="AF5" s="21"/>
      <c r="AG5" s="7">
        <v>1</v>
      </c>
      <c r="AH5" s="7">
        <v>0</v>
      </c>
      <c r="AI5" s="7">
        <v>0</v>
      </c>
      <c r="AJ5" s="7">
        <f t="shared" si="4"/>
        <v>1</v>
      </c>
      <c r="AK5" s="21"/>
      <c r="AL5" s="7">
        <v>1</v>
      </c>
      <c r="AM5" s="7">
        <v>0</v>
      </c>
      <c r="AN5" s="7">
        <v>1</v>
      </c>
      <c r="AO5" s="7">
        <f t="shared" ref="AO5:AO14" si="10">AL5+AM5+AN5</f>
        <v>2</v>
      </c>
      <c r="AP5" s="21"/>
      <c r="AQ5" s="7">
        <f t="shared" si="5"/>
        <v>45</v>
      </c>
      <c r="AR5" s="7">
        <f t="shared" si="5"/>
        <v>37</v>
      </c>
      <c r="AS5" s="7">
        <f t="shared" si="5"/>
        <v>18</v>
      </c>
      <c r="AT5" s="7">
        <f t="shared" ref="AT5:AT14" si="11">AQ5+AR5+AS5</f>
        <v>100</v>
      </c>
      <c r="AU5" s="21"/>
      <c r="AV5" s="7">
        <f t="shared" si="9"/>
        <v>81</v>
      </c>
      <c r="AW5" s="7">
        <f t="shared" si="9"/>
        <v>80</v>
      </c>
      <c r="AX5" s="7">
        <f t="shared" si="9"/>
        <v>65</v>
      </c>
      <c r="AY5" s="7">
        <f t="shared" ref="AY5:AY14" si="12">AV5+AW5+AX5</f>
        <v>226</v>
      </c>
    </row>
    <row r="6" spans="1:51" x14ac:dyDescent="0.25">
      <c r="A6" s="5">
        <v>30</v>
      </c>
      <c r="B6" s="6">
        <v>45383</v>
      </c>
      <c r="C6" s="7">
        <v>49</v>
      </c>
      <c r="D6" s="7">
        <v>43</v>
      </c>
      <c r="E6" s="7">
        <v>41</v>
      </c>
      <c r="F6" s="7">
        <f t="shared" si="0"/>
        <v>133</v>
      </c>
      <c r="G6" s="19"/>
      <c r="H6" s="7">
        <v>9</v>
      </c>
      <c r="I6" s="7">
        <v>9</v>
      </c>
      <c r="J6" s="7">
        <v>6</v>
      </c>
      <c r="K6" s="7">
        <f t="shared" si="7"/>
        <v>24</v>
      </c>
      <c r="L6" s="21"/>
      <c r="M6" s="7">
        <v>3</v>
      </c>
      <c r="N6" s="7">
        <v>2</v>
      </c>
      <c r="O6" s="7">
        <v>1</v>
      </c>
      <c r="P6" s="7">
        <f t="shared" si="1"/>
        <v>6</v>
      </c>
      <c r="Q6" s="21"/>
      <c r="R6" s="7">
        <v>9</v>
      </c>
      <c r="S6" s="7">
        <v>10</v>
      </c>
      <c r="T6" s="7">
        <v>11</v>
      </c>
      <c r="U6" s="7">
        <f t="shared" si="2"/>
        <v>30</v>
      </c>
      <c r="V6" s="21"/>
      <c r="W6" s="7">
        <v>7</v>
      </c>
      <c r="X6" s="7">
        <v>10</v>
      </c>
      <c r="Y6" s="7">
        <v>7</v>
      </c>
      <c r="Z6" s="7">
        <f t="shared" si="3"/>
        <v>24</v>
      </c>
      <c r="AA6" s="21"/>
      <c r="AB6" s="7">
        <v>2</v>
      </c>
      <c r="AC6" s="7">
        <v>2</v>
      </c>
      <c r="AD6" s="7">
        <v>3</v>
      </c>
      <c r="AE6" s="7">
        <f t="shared" si="8"/>
        <v>7</v>
      </c>
      <c r="AF6" s="21"/>
      <c r="AG6" s="7">
        <v>0</v>
      </c>
      <c r="AH6" s="7">
        <v>2</v>
      </c>
      <c r="AI6" s="7">
        <v>0</v>
      </c>
      <c r="AJ6" s="7">
        <f t="shared" si="4"/>
        <v>2</v>
      </c>
      <c r="AK6" s="21"/>
      <c r="AL6" s="7">
        <v>0</v>
      </c>
      <c r="AM6" s="7">
        <v>1</v>
      </c>
      <c r="AN6" s="7">
        <v>0</v>
      </c>
      <c r="AO6" s="7">
        <f t="shared" si="10"/>
        <v>1</v>
      </c>
      <c r="AP6" s="21"/>
      <c r="AQ6" s="7">
        <f t="shared" si="5"/>
        <v>28</v>
      </c>
      <c r="AR6" s="7">
        <f t="shared" si="5"/>
        <v>34</v>
      </c>
      <c r="AS6" s="7">
        <f t="shared" si="5"/>
        <v>25</v>
      </c>
      <c r="AT6" s="7">
        <f t="shared" si="11"/>
        <v>87</v>
      </c>
      <c r="AU6" s="21"/>
      <c r="AV6" s="7">
        <f t="shared" si="9"/>
        <v>79</v>
      </c>
      <c r="AW6" s="7">
        <f t="shared" si="9"/>
        <v>79</v>
      </c>
      <c r="AX6" s="7">
        <f t="shared" si="9"/>
        <v>69</v>
      </c>
      <c r="AY6" s="7">
        <f t="shared" si="12"/>
        <v>227</v>
      </c>
    </row>
    <row r="7" spans="1:51" x14ac:dyDescent="0.25">
      <c r="A7" s="5">
        <v>31</v>
      </c>
      <c r="B7" s="6">
        <v>45413</v>
      </c>
      <c r="C7" s="7">
        <v>49</v>
      </c>
      <c r="D7" s="7">
        <v>41</v>
      </c>
      <c r="E7" s="7">
        <v>51</v>
      </c>
      <c r="F7" s="7">
        <f>C7+D7+E7</f>
        <v>141</v>
      </c>
      <c r="G7" s="19"/>
      <c r="H7" s="7">
        <v>10</v>
      </c>
      <c r="I7" s="7">
        <v>11</v>
      </c>
      <c r="J7" s="7">
        <v>7</v>
      </c>
      <c r="K7" s="7">
        <f t="shared" si="7"/>
        <v>28</v>
      </c>
      <c r="L7" s="21"/>
      <c r="M7" s="7">
        <v>3</v>
      </c>
      <c r="N7" s="7">
        <v>4</v>
      </c>
      <c r="O7" s="7">
        <v>0</v>
      </c>
      <c r="P7" s="7">
        <f t="shared" si="1"/>
        <v>7</v>
      </c>
      <c r="Q7" s="21"/>
      <c r="R7" s="7">
        <v>8</v>
      </c>
      <c r="S7" s="7">
        <v>9</v>
      </c>
      <c r="T7" s="7">
        <v>9</v>
      </c>
      <c r="U7" s="7">
        <f t="shared" si="2"/>
        <v>26</v>
      </c>
      <c r="V7" s="21"/>
      <c r="W7" s="7">
        <v>8</v>
      </c>
      <c r="X7" s="7">
        <v>7</v>
      </c>
      <c r="Y7" s="7">
        <v>8</v>
      </c>
      <c r="Z7" s="7">
        <f t="shared" si="3"/>
        <v>23</v>
      </c>
      <c r="AA7" s="21"/>
      <c r="AB7" s="7">
        <v>3</v>
      </c>
      <c r="AC7" s="7">
        <v>1</v>
      </c>
      <c r="AD7" s="7">
        <v>2</v>
      </c>
      <c r="AE7" s="7">
        <f t="shared" si="8"/>
        <v>6</v>
      </c>
      <c r="AF7" s="21"/>
      <c r="AG7" s="7">
        <v>1</v>
      </c>
      <c r="AH7" s="7">
        <v>2</v>
      </c>
      <c r="AI7" s="7">
        <v>0</v>
      </c>
      <c r="AJ7" s="7">
        <f t="shared" si="4"/>
        <v>3</v>
      </c>
      <c r="AK7" s="21"/>
      <c r="AL7" s="7">
        <v>0</v>
      </c>
      <c r="AM7" s="7">
        <v>0</v>
      </c>
      <c r="AN7" s="7">
        <v>1</v>
      </c>
      <c r="AO7" s="7">
        <f t="shared" si="10"/>
        <v>1</v>
      </c>
      <c r="AP7" s="21"/>
      <c r="AQ7" s="7">
        <f t="shared" si="5"/>
        <v>30</v>
      </c>
      <c r="AR7" s="7">
        <f t="shared" si="5"/>
        <v>33</v>
      </c>
      <c r="AS7" s="7">
        <f t="shared" si="5"/>
        <v>25</v>
      </c>
      <c r="AT7" s="7">
        <f t="shared" si="11"/>
        <v>88</v>
      </c>
      <c r="AU7" s="21"/>
      <c r="AV7" s="7">
        <f t="shared" si="9"/>
        <v>82</v>
      </c>
      <c r="AW7" s="7">
        <f t="shared" si="9"/>
        <v>75</v>
      </c>
      <c r="AX7" s="7">
        <f t="shared" si="9"/>
        <v>78</v>
      </c>
      <c r="AY7" s="7">
        <f t="shared" si="12"/>
        <v>235</v>
      </c>
    </row>
    <row r="8" spans="1:51" x14ac:dyDescent="0.25">
      <c r="A8" s="5">
        <v>30</v>
      </c>
      <c r="B8" s="6">
        <v>45444</v>
      </c>
      <c r="C8" s="7">
        <v>38</v>
      </c>
      <c r="D8" s="7">
        <v>47</v>
      </c>
      <c r="E8" s="7">
        <v>38</v>
      </c>
      <c r="F8" s="7">
        <f t="shared" si="0"/>
        <v>123</v>
      </c>
      <c r="G8" s="19"/>
      <c r="H8" s="7">
        <v>9</v>
      </c>
      <c r="I8" s="7">
        <v>8</v>
      </c>
      <c r="J8" s="7">
        <v>7</v>
      </c>
      <c r="K8" s="7">
        <f t="shared" si="7"/>
        <v>24</v>
      </c>
      <c r="L8" s="21"/>
      <c r="M8" s="7">
        <v>2</v>
      </c>
      <c r="N8" s="7">
        <v>4</v>
      </c>
      <c r="O8" s="7">
        <v>1</v>
      </c>
      <c r="P8" s="7">
        <f t="shared" si="1"/>
        <v>7</v>
      </c>
      <c r="Q8" s="21"/>
      <c r="R8" s="7">
        <v>9</v>
      </c>
      <c r="S8" s="7">
        <v>8</v>
      </c>
      <c r="T8" s="7">
        <v>7</v>
      </c>
      <c r="U8" s="7">
        <f t="shared" si="2"/>
        <v>24</v>
      </c>
      <c r="V8" s="21"/>
      <c r="W8" s="7">
        <v>5</v>
      </c>
      <c r="X8" s="7">
        <v>9</v>
      </c>
      <c r="Y8" s="7">
        <v>7</v>
      </c>
      <c r="Z8" s="7">
        <f t="shared" si="3"/>
        <v>21</v>
      </c>
      <c r="AA8" s="21"/>
      <c r="AB8" s="7">
        <v>2</v>
      </c>
      <c r="AC8" s="7">
        <v>1</v>
      </c>
      <c r="AD8" s="7">
        <v>3</v>
      </c>
      <c r="AE8" s="7">
        <f t="shared" si="8"/>
        <v>6</v>
      </c>
      <c r="AF8" s="21"/>
      <c r="AG8" s="7">
        <v>0</v>
      </c>
      <c r="AH8" s="7">
        <v>0</v>
      </c>
      <c r="AI8" s="7">
        <v>0</v>
      </c>
      <c r="AJ8" s="7">
        <f t="shared" si="4"/>
        <v>0</v>
      </c>
      <c r="AK8" s="21"/>
      <c r="AL8" s="7">
        <v>0</v>
      </c>
      <c r="AM8" s="7">
        <v>1</v>
      </c>
      <c r="AN8" s="7">
        <v>0</v>
      </c>
      <c r="AO8" s="7">
        <f t="shared" si="10"/>
        <v>1</v>
      </c>
      <c r="AP8" s="21"/>
      <c r="AQ8" s="7">
        <f t="shared" si="5"/>
        <v>25</v>
      </c>
      <c r="AR8" s="7">
        <f t="shared" si="5"/>
        <v>30</v>
      </c>
      <c r="AS8" s="7">
        <f t="shared" si="5"/>
        <v>22</v>
      </c>
      <c r="AT8" s="7">
        <f t="shared" si="11"/>
        <v>77</v>
      </c>
      <c r="AU8" s="21"/>
      <c r="AV8" s="7">
        <f t="shared" si="9"/>
        <v>65</v>
      </c>
      <c r="AW8" s="7">
        <f t="shared" si="9"/>
        <v>78</v>
      </c>
      <c r="AX8" s="7">
        <f t="shared" si="9"/>
        <v>63</v>
      </c>
      <c r="AY8" s="7">
        <f t="shared" si="12"/>
        <v>206</v>
      </c>
    </row>
    <row r="9" spans="1:51" x14ac:dyDescent="0.25">
      <c r="A9" s="5">
        <v>31</v>
      </c>
      <c r="B9" s="6">
        <v>45474</v>
      </c>
      <c r="C9" s="7">
        <v>44</v>
      </c>
      <c r="D9" s="7">
        <v>40</v>
      </c>
      <c r="E9" s="7">
        <v>38</v>
      </c>
      <c r="F9" s="7">
        <f t="shared" si="0"/>
        <v>122</v>
      </c>
      <c r="G9" s="19"/>
      <c r="H9" s="7">
        <v>7</v>
      </c>
      <c r="I9" s="7">
        <v>7</v>
      </c>
      <c r="J9" s="7">
        <v>7</v>
      </c>
      <c r="K9" s="7">
        <f t="shared" si="7"/>
        <v>21</v>
      </c>
      <c r="L9" s="21"/>
      <c r="M9" s="7">
        <v>1</v>
      </c>
      <c r="N9" s="7">
        <v>2</v>
      </c>
      <c r="O9" s="7">
        <v>2</v>
      </c>
      <c r="P9" s="7">
        <f t="shared" si="1"/>
        <v>5</v>
      </c>
      <c r="Q9" s="21"/>
      <c r="R9" s="7">
        <v>11</v>
      </c>
      <c r="S9" s="7">
        <v>9</v>
      </c>
      <c r="T9" s="7">
        <v>10</v>
      </c>
      <c r="U9" s="7">
        <f t="shared" si="2"/>
        <v>30</v>
      </c>
      <c r="V9" s="21"/>
      <c r="W9" s="7">
        <v>7</v>
      </c>
      <c r="X9" s="7">
        <v>11</v>
      </c>
      <c r="Y9" s="7">
        <v>7</v>
      </c>
      <c r="Z9" s="7">
        <f t="shared" si="3"/>
        <v>25</v>
      </c>
      <c r="AA9" s="21"/>
      <c r="AB9" s="7">
        <v>3</v>
      </c>
      <c r="AC9" s="7">
        <v>2</v>
      </c>
      <c r="AD9" s="7">
        <v>1</v>
      </c>
      <c r="AE9" s="7">
        <f t="shared" si="8"/>
        <v>6</v>
      </c>
      <c r="AF9" s="21"/>
      <c r="AG9" s="7">
        <v>0</v>
      </c>
      <c r="AH9" s="7">
        <v>1</v>
      </c>
      <c r="AI9" s="7">
        <v>0</v>
      </c>
      <c r="AJ9" s="7">
        <f t="shared" si="4"/>
        <v>1</v>
      </c>
      <c r="AK9" s="21"/>
      <c r="AL9" s="7">
        <v>0</v>
      </c>
      <c r="AM9" s="7">
        <v>0</v>
      </c>
      <c r="AN9" s="7">
        <v>1</v>
      </c>
      <c r="AO9" s="7">
        <f t="shared" si="10"/>
        <v>1</v>
      </c>
      <c r="AP9" s="21"/>
      <c r="AQ9" s="7">
        <f t="shared" ref="AQ9" si="13">R9+H9+M9+W9+AG9+AL9+AQ26</f>
        <v>26</v>
      </c>
      <c r="AR9" s="7">
        <f t="shared" ref="AR9" si="14">S9+I9+N9+X9+AH9+AM9+AR26</f>
        <v>30</v>
      </c>
      <c r="AS9" s="7">
        <f t="shared" ref="AS9" si="15">T9+J9+O9+Y9+AI9+AN9+AS26</f>
        <v>27</v>
      </c>
      <c r="AT9" s="7">
        <f t="shared" ref="AT9" si="16">AQ9+AR9+AS9</f>
        <v>83</v>
      </c>
      <c r="AU9" s="21"/>
      <c r="AV9" s="7">
        <f t="shared" ref="AV9" si="17">C9+R9+H9+M9+W9+AB9+AG9+AL9+AQ26</f>
        <v>73</v>
      </c>
      <c r="AW9" s="7">
        <f t="shared" ref="AW9" si="18">D9+S9+I9+N9+X9+AC9+AH9+AM9+AR26</f>
        <v>72</v>
      </c>
      <c r="AX9" s="7">
        <f t="shared" ref="AX9" si="19">E9+T9+J9+O9+Y9+AD9+AI9+AN9+AS26</f>
        <v>66</v>
      </c>
      <c r="AY9" s="7">
        <f t="shared" ref="AY9" si="20">AV9+AW9+AX9</f>
        <v>211</v>
      </c>
    </row>
    <row r="10" spans="1:51" x14ac:dyDescent="0.25">
      <c r="A10" s="5">
        <v>31</v>
      </c>
      <c r="B10" s="6">
        <v>45505</v>
      </c>
      <c r="C10" s="7">
        <v>42</v>
      </c>
      <c r="D10" s="7">
        <v>51</v>
      </c>
      <c r="E10" s="7">
        <v>46</v>
      </c>
      <c r="F10" s="7">
        <f t="shared" si="0"/>
        <v>139</v>
      </c>
      <c r="G10" s="19"/>
      <c r="H10" s="7">
        <v>9</v>
      </c>
      <c r="I10" s="7">
        <v>9</v>
      </c>
      <c r="J10" s="7">
        <v>7</v>
      </c>
      <c r="K10" s="7">
        <f t="shared" si="7"/>
        <v>25</v>
      </c>
      <c r="L10" s="21"/>
      <c r="M10" s="7">
        <v>2</v>
      </c>
      <c r="N10" s="7">
        <v>2</v>
      </c>
      <c r="O10" s="7">
        <v>1</v>
      </c>
      <c r="P10" s="7">
        <f t="shared" si="1"/>
        <v>5</v>
      </c>
      <c r="Q10" s="21"/>
      <c r="R10" s="7">
        <v>11</v>
      </c>
      <c r="S10" s="7">
        <v>7</v>
      </c>
      <c r="T10" s="7">
        <v>14</v>
      </c>
      <c r="U10" s="7">
        <f t="shared" si="2"/>
        <v>32</v>
      </c>
      <c r="V10" s="21"/>
      <c r="W10" s="7">
        <v>10</v>
      </c>
      <c r="X10" s="7">
        <v>7</v>
      </c>
      <c r="Y10" s="7">
        <v>12</v>
      </c>
      <c r="Z10" s="7">
        <f t="shared" si="3"/>
        <v>29</v>
      </c>
      <c r="AA10" s="21"/>
      <c r="AB10" s="7">
        <v>1</v>
      </c>
      <c r="AC10" s="7">
        <v>0</v>
      </c>
      <c r="AD10" s="7">
        <v>1</v>
      </c>
      <c r="AE10" s="7">
        <f t="shared" si="8"/>
        <v>2</v>
      </c>
      <c r="AF10" s="21"/>
      <c r="AG10" s="7">
        <v>0</v>
      </c>
      <c r="AH10" s="7">
        <v>0</v>
      </c>
      <c r="AI10" s="7">
        <v>0</v>
      </c>
      <c r="AJ10" s="7">
        <f t="shared" si="4"/>
        <v>0</v>
      </c>
      <c r="AK10" s="21"/>
      <c r="AL10" s="7">
        <v>0</v>
      </c>
      <c r="AM10" s="7">
        <v>0</v>
      </c>
      <c r="AN10" s="7">
        <v>0</v>
      </c>
      <c r="AO10" s="7">
        <f t="shared" si="10"/>
        <v>0</v>
      </c>
      <c r="AP10" s="21"/>
      <c r="AQ10" s="7">
        <f t="shared" ref="AQ10" si="21">R10+H10+M10+W10+AG10+AL10+AQ27</f>
        <v>32</v>
      </c>
      <c r="AR10" s="7">
        <f t="shared" ref="AR10" si="22">S10+I10+N10+X10+AH10+AM10+AR27</f>
        <v>25</v>
      </c>
      <c r="AS10" s="7">
        <f t="shared" ref="AS10" si="23">T10+J10+O10+Y10+AI10+AN10+AS27</f>
        <v>34</v>
      </c>
      <c r="AT10" s="7">
        <f t="shared" si="11"/>
        <v>91</v>
      </c>
      <c r="AU10" s="21"/>
      <c r="AV10" s="7">
        <f t="shared" ref="AV10:AV12" si="24">C10+R10+H10+M10+W10+AB10+AG10+AL10+AQ27</f>
        <v>75</v>
      </c>
      <c r="AW10" s="7">
        <f t="shared" ref="AW10:AW12" si="25">D10+S10+I10+N10+X10+AC10+AH10+AM10+AR27</f>
        <v>76</v>
      </c>
      <c r="AX10" s="7">
        <f t="shared" ref="AX10:AX12" si="26">E10+T10+J10+O10+Y10+AD10+AI10+AN10+AS27</f>
        <v>81</v>
      </c>
      <c r="AY10" s="7">
        <f t="shared" ref="AY10:AY12" si="27">AV10+AW10+AX10</f>
        <v>232</v>
      </c>
    </row>
    <row r="11" spans="1:51" x14ac:dyDescent="0.25">
      <c r="A11" s="5">
        <v>30</v>
      </c>
      <c r="B11" s="6">
        <v>45536</v>
      </c>
      <c r="C11" s="7">
        <v>43</v>
      </c>
      <c r="D11" s="7">
        <v>45</v>
      </c>
      <c r="E11" s="7">
        <v>47</v>
      </c>
      <c r="F11" s="7">
        <f t="shared" si="0"/>
        <v>135</v>
      </c>
      <c r="G11" s="19"/>
      <c r="H11" s="7">
        <v>18</v>
      </c>
      <c r="I11" s="7">
        <v>10</v>
      </c>
      <c r="J11" s="7">
        <v>7</v>
      </c>
      <c r="K11" s="7">
        <f t="shared" si="7"/>
        <v>35</v>
      </c>
      <c r="L11" s="21"/>
      <c r="M11" s="7">
        <v>1</v>
      </c>
      <c r="N11" s="7">
        <v>3</v>
      </c>
      <c r="O11" s="7">
        <v>2</v>
      </c>
      <c r="P11" s="7">
        <f t="shared" si="1"/>
        <v>6</v>
      </c>
      <c r="Q11" s="21"/>
      <c r="R11" s="7">
        <v>10</v>
      </c>
      <c r="S11" s="7">
        <v>10</v>
      </c>
      <c r="T11" s="7">
        <v>8</v>
      </c>
      <c r="U11" s="7">
        <f t="shared" si="2"/>
        <v>28</v>
      </c>
      <c r="V11" s="21"/>
      <c r="W11" s="7">
        <v>8</v>
      </c>
      <c r="X11" s="7">
        <v>8</v>
      </c>
      <c r="Y11" s="7">
        <v>11</v>
      </c>
      <c r="Z11" s="7">
        <f t="shared" si="3"/>
        <v>27</v>
      </c>
      <c r="AA11" s="21"/>
      <c r="AB11" s="7">
        <v>3</v>
      </c>
      <c r="AC11" s="7">
        <v>1</v>
      </c>
      <c r="AD11" s="7">
        <v>2</v>
      </c>
      <c r="AE11" s="7">
        <f t="shared" si="8"/>
        <v>6</v>
      </c>
      <c r="AF11" s="21"/>
      <c r="AG11" s="7">
        <v>1</v>
      </c>
      <c r="AH11" s="7">
        <v>0</v>
      </c>
      <c r="AI11" s="7">
        <v>0</v>
      </c>
      <c r="AJ11" s="7">
        <f t="shared" si="4"/>
        <v>1</v>
      </c>
      <c r="AK11" s="21"/>
      <c r="AL11" s="7">
        <v>0</v>
      </c>
      <c r="AM11" s="7">
        <v>1</v>
      </c>
      <c r="AN11" s="7">
        <v>0</v>
      </c>
      <c r="AO11" s="7">
        <f t="shared" si="10"/>
        <v>1</v>
      </c>
      <c r="AP11" s="21"/>
      <c r="AQ11" s="7">
        <f t="shared" ref="AQ11" si="28">R11+H11+M11+W11+AG11+AL11+AQ28</f>
        <v>38</v>
      </c>
      <c r="AR11" s="7">
        <f t="shared" ref="AR11" si="29">S11+I11+N11+X11+AH11+AM11+AR28</f>
        <v>32</v>
      </c>
      <c r="AS11" s="7">
        <f t="shared" ref="AS11" si="30">T11+J11+O11+Y11+AI11+AN11+AS28</f>
        <v>28</v>
      </c>
      <c r="AT11" s="7">
        <f t="shared" si="11"/>
        <v>98</v>
      </c>
      <c r="AU11" s="21"/>
      <c r="AV11" s="7">
        <f t="shared" si="24"/>
        <v>84</v>
      </c>
      <c r="AW11" s="7">
        <f t="shared" si="25"/>
        <v>78</v>
      </c>
      <c r="AX11" s="7">
        <f t="shared" si="26"/>
        <v>77</v>
      </c>
      <c r="AY11" s="7">
        <f t="shared" si="27"/>
        <v>239</v>
      </c>
    </row>
    <row r="12" spans="1:51" x14ac:dyDescent="0.25">
      <c r="A12" s="5">
        <v>31</v>
      </c>
      <c r="B12" s="6">
        <v>45566</v>
      </c>
      <c r="C12" s="7">
        <v>52</v>
      </c>
      <c r="D12" s="7">
        <v>43</v>
      </c>
      <c r="E12" s="7">
        <v>52</v>
      </c>
      <c r="F12" s="7">
        <f t="shared" si="0"/>
        <v>147</v>
      </c>
      <c r="G12" s="19"/>
      <c r="H12" s="7">
        <v>11</v>
      </c>
      <c r="I12" s="7">
        <v>12</v>
      </c>
      <c r="J12" s="7">
        <v>5</v>
      </c>
      <c r="K12" s="7">
        <f t="shared" si="7"/>
        <v>28</v>
      </c>
      <c r="L12" s="21"/>
      <c r="M12" s="7">
        <v>3</v>
      </c>
      <c r="N12" s="7">
        <v>2</v>
      </c>
      <c r="O12" s="7">
        <v>1</v>
      </c>
      <c r="P12" s="7">
        <f t="shared" si="1"/>
        <v>6</v>
      </c>
      <c r="Q12" s="21"/>
      <c r="R12" s="7">
        <v>8</v>
      </c>
      <c r="S12" s="7">
        <v>9</v>
      </c>
      <c r="T12" s="7">
        <v>7</v>
      </c>
      <c r="U12" s="7">
        <f t="shared" si="2"/>
        <v>24</v>
      </c>
      <c r="V12" s="21"/>
      <c r="W12" s="7">
        <v>10</v>
      </c>
      <c r="X12" s="7">
        <v>6</v>
      </c>
      <c r="Y12" s="7">
        <v>11</v>
      </c>
      <c r="Z12" s="7">
        <f t="shared" si="3"/>
        <v>27</v>
      </c>
      <c r="AA12" s="21"/>
      <c r="AB12" s="7">
        <v>3</v>
      </c>
      <c r="AC12" s="7">
        <v>1</v>
      </c>
      <c r="AD12" s="7">
        <v>4</v>
      </c>
      <c r="AE12" s="7">
        <f t="shared" si="8"/>
        <v>8</v>
      </c>
      <c r="AF12" s="21"/>
      <c r="AG12" s="7">
        <v>1</v>
      </c>
      <c r="AH12" s="7">
        <v>0</v>
      </c>
      <c r="AI12" s="7">
        <v>1</v>
      </c>
      <c r="AJ12" s="7">
        <f t="shared" si="4"/>
        <v>2</v>
      </c>
      <c r="AK12" s="21"/>
      <c r="AL12" s="10">
        <v>1</v>
      </c>
      <c r="AM12" s="7">
        <v>0</v>
      </c>
      <c r="AN12" s="7">
        <v>0</v>
      </c>
      <c r="AO12" s="7">
        <f t="shared" si="10"/>
        <v>1</v>
      </c>
      <c r="AP12" s="21"/>
      <c r="AQ12" s="7">
        <f t="shared" ref="AQ12:AQ13" si="31">R12+H12+M12+W12+AG12+AL12+AQ29</f>
        <v>34</v>
      </c>
      <c r="AR12" s="7">
        <f t="shared" ref="AR12:AR13" si="32">S12+I12+N12+X12+AH12+AM12+AR29</f>
        <v>29</v>
      </c>
      <c r="AS12" s="7">
        <f t="shared" ref="AS12:AS13" si="33">T12+J12+O12+Y12+AI12+AN12+AS29</f>
        <v>25</v>
      </c>
      <c r="AT12" s="7">
        <f t="shared" ref="AT12:AT13" si="34">AQ12+AR12+AS12</f>
        <v>88</v>
      </c>
      <c r="AU12" s="21"/>
      <c r="AV12" s="7">
        <f t="shared" si="24"/>
        <v>89</v>
      </c>
      <c r="AW12" s="7">
        <f t="shared" si="25"/>
        <v>73</v>
      </c>
      <c r="AX12" s="7">
        <f t="shared" si="26"/>
        <v>81</v>
      </c>
      <c r="AY12" s="7">
        <f t="shared" si="27"/>
        <v>243</v>
      </c>
    </row>
    <row r="13" spans="1:51" x14ac:dyDescent="0.25">
      <c r="A13" s="5">
        <v>30</v>
      </c>
      <c r="B13" s="6">
        <v>45597</v>
      </c>
      <c r="C13" s="7">
        <v>50</v>
      </c>
      <c r="D13" s="7">
        <v>53</v>
      </c>
      <c r="E13" s="7">
        <v>38</v>
      </c>
      <c r="F13" s="7">
        <f t="shared" si="0"/>
        <v>141</v>
      </c>
      <c r="G13" s="19"/>
      <c r="H13" s="7">
        <v>9</v>
      </c>
      <c r="I13" s="7">
        <v>10</v>
      </c>
      <c r="J13" s="7">
        <v>4</v>
      </c>
      <c r="K13" s="7">
        <f t="shared" si="7"/>
        <v>23</v>
      </c>
      <c r="L13" s="21"/>
      <c r="M13" s="7">
        <v>2</v>
      </c>
      <c r="N13" s="7">
        <v>5</v>
      </c>
      <c r="O13" s="7">
        <v>0</v>
      </c>
      <c r="P13" s="7">
        <f t="shared" si="1"/>
        <v>7</v>
      </c>
      <c r="Q13" s="21"/>
      <c r="R13" s="7">
        <v>9</v>
      </c>
      <c r="S13" s="7">
        <v>10</v>
      </c>
      <c r="T13" s="7">
        <v>6</v>
      </c>
      <c r="U13" s="7">
        <f t="shared" si="2"/>
        <v>25</v>
      </c>
      <c r="V13" s="21"/>
      <c r="W13" s="7">
        <v>9</v>
      </c>
      <c r="X13" s="7">
        <v>6</v>
      </c>
      <c r="Y13" s="7">
        <v>9</v>
      </c>
      <c r="Z13" s="7">
        <f t="shared" si="3"/>
        <v>24</v>
      </c>
      <c r="AA13" s="21"/>
      <c r="AB13" s="7">
        <v>0</v>
      </c>
      <c r="AC13" s="7">
        <v>2</v>
      </c>
      <c r="AD13" s="7">
        <v>4</v>
      </c>
      <c r="AE13" s="7">
        <f t="shared" si="8"/>
        <v>6</v>
      </c>
      <c r="AF13" s="21"/>
      <c r="AG13" s="7">
        <v>0</v>
      </c>
      <c r="AH13" s="7">
        <v>0</v>
      </c>
      <c r="AI13" s="7">
        <v>0</v>
      </c>
      <c r="AJ13" s="7">
        <f t="shared" si="4"/>
        <v>0</v>
      </c>
      <c r="AK13" s="21"/>
      <c r="AL13" s="10">
        <v>0</v>
      </c>
      <c r="AM13" s="7">
        <v>0</v>
      </c>
      <c r="AN13" s="7">
        <v>0</v>
      </c>
      <c r="AO13" s="7">
        <f t="shared" si="10"/>
        <v>0</v>
      </c>
      <c r="AP13" s="21"/>
      <c r="AQ13" s="7">
        <f t="shared" si="31"/>
        <v>29</v>
      </c>
      <c r="AR13" s="7">
        <f t="shared" si="32"/>
        <v>31</v>
      </c>
      <c r="AS13" s="7">
        <f t="shared" si="33"/>
        <v>19</v>
      </c>
      <c r="AT13" s="7">
        <f t="shared" si="34"/>
        <v>79</v>
      </c>
      <c r="AU13" s="21"/>
      <c r="AV13" s="7">
        <f t="shared" ref="AV13" si="35">C13+R13+H13+M13+W13+AB13+AG13+AL13+AQ30</f>
        <v>79</v>
      </c>
      <c r="AW13" s="7">
        <f t="shared" ref="AW13" si="36">D13+S13+I13+N13+X13+AC13+AH13+AM13+AR30</f>
        <v>86</v>
      </c>
      <c r="AX13" s="7">
        <f t="shared" ref="AX13" si="37">E13+T13+J13+O13+Y13+AD13+AI13+AN13+AS30</f>
        <v>61</v>
      </c>
      <c r="AY13" s="7">
        <f t="shared" ref="AY13" si="38">AV13+AW13+AX13</f>
        <v>226</v>
      </c>
    </row>
    <row r="14" spans="1:51" x14ac:dyDescent="0.25">
      <c r="A14" s="5">
        <v>31</v>
      </c>
      <c r="B14" s="6">
        <v>45627</v>
      </c>
      <c r="C14" s="7">
        <v>45</v>
      </c>
      <c r="D14" s="7">
        <v>45</v>
      </c>
      <c r="E14" s="7">
        <v>43</v>
      </c>
      <c r="F14" s="7">
        <f t="shared" si="0"/>
        <v>133</v>
      </c>
      <c r="G14" s="19"/>
      <c r="H14" s="7">
        <v>8</v>
      </c>
      <c r="I14" s="7">
        <v>8</v>
      </c>
      <c r="J14" s="7">
        <v>6</v>
      </c>
      <c r="K14" s="7">
        <f t="shared" si="7"/>
        <v>22</v>
      </c>
      <c r="L14" s="21"/>
      <c r="M14" s="7">
        <v>2</v>
      </c>
      <c r="N14" s="7">
        <v>3</v>
      </c>
      <c r="O14" s="7">
        <v>0</v>
      </c>
      <c r="P14" s="7">
        <f t="shared" si="1"/>
        <v>5</v>
      </c>
      <c r="Q14" s="21"/>
      <c r="R14" s="7">
        <v>9</v>
      </c>
      <c r="S14" s="7">
        <v>10</v>
      </c>
      <c r="T14" s="7">
        <v>7</v>
      </c>
      <c r="U14" s="7">
        <f t="shared" si="2"/>
        <v>26</v>
      </c>
      <c r="V14" s="21"/>
      <c r="W14" s="7">
        <v>13</v>
      </c>
      <c r="X14" s="7">
        <v>7</v>
      </c>
      <c r="Y14" s="7">
        <v>12</v>
      </c>
      <c r="Z14" s="7">
        <f t="shared" si="3"/>
        <v>32</v>
      </c>
      <c r="AA14" s="21"/>
      <c r="AB14" s="7">
        <v>1</v>
      </c>
      <c r="AC14" s="7">
        <v>1</v>
      </c>
      <c r="AD14" s="7">
        <v>2</v>
      </c>
      <c r="AE14" s="7">
        <f t="shared" si="8"/>
        <v>4</v>
      </c>
      <c r="AF14" s="21"/>
      <c r="AG14" s="7">
        <v>0</v>
      </c>
      <c r="AH14" s="7">
        <v>1</v>
      </c>
      <c r="AI14" s="7">
        <v>0</v>
      </c>
      <c r="AJ14" s="7">
        <f t="shared" si="4"/>
        <v>1</v>
      </c>
      <c r="AK14" s="21"/>
      <c r="AL14" s="7">
        <v>0</v>
      </c>
      <c r="AM14" s="7">
        <v>0</v>
      </c>
      <c r="AN14" s="7">
        <v>0</v>
      </c>
      <c r="AO14" s="7">
        <f t="shared" si="10"/>
        <v>0</v>
      </c>
      <c r="AP14" s="21"/>
      <c r="AQ14" s="7">
        <f t="shared" ref="AQ14" si="39">R14+H14+M14+W14+AG14+AL14+AQ31</f>
        <v>32</v>
      </c>
      <c r="AR14" s="7">
        <f t="shared" ref="AR14" si="40">S14+I14+N14+X14+AH14+AM14+AR31</f>
        <v>29</v>
      </c>
      <c r="AS14" s="7">
        <f t="shared" ref="AS14" si="41">T14+J14+O14+Y14+AI14+AN14+AS31</f>
        <v>25</v>
      </c>
      <c r="AT14" s="7">
        <f t="shared" si="11"/>
        <v>86</v>
      </c>
      <c r="AU14" s="21"/>
      <c r="AV14" s="13">
        <f t="shared" ref="AV14" si="42">C14+R14+H14+M14+W14+AB14+AG14+AL14+AQ31</f>
        <v>78</v>
      </c>
      <c r="AW14" s="13">
        <f t="shared" ref="AW14" si="43">D14+S14+I14+N14+X14+AC14+AH14+AM14+AR31</f>
        <v>75</v>
      </c>
      <c r="AX14" s="13">
        <f t="shared" ref="AX14" si="44">E14+T14+J14+O14+Y14+AD14+AI14+AN14+AS31</f>
        <v>70</v>
      </c>
      <c r="AY14" s="13">
        <f t="shared" si="12"/>
        <v>223</v>
      </c>
    </row>
    <row r="15" spans="1:51" x14ac:dyDescent="0.25">
      <c r="B15" s="8"/>
      <c r="C15" s="9">
        <f>AVERAGE(C3:C7)</f>
        <v>43.8</v>
      </c>
      <c r="D15" s="9">
        <f t="shared" ref="D15:AY15" si="45">AVERAGE(D3:D7)</f>
        <v>41</v>
      </c>
      <c r="E15" s="9">
        <f t="shared" si="45"/>
        <v>43.6</v>
      </c>
      <c r="F15" s="9">
        <f t="shared" si="45"/>
        <v>128.4</v>
      </c>
      <c r="G15" s="9"/>
      <c r="H15" s="9">
        <f t="shared" si="45"/>
        <v>11.6</v>
      </c>
      <c r="I15" s="9">
        <f t="shared" si="45"/>
        <v>10</v>
      </c>
      <c r="J15" s="9">
        <f t="shared" si="45"/>
        <v>6.4</v>
      </c>
      <c r="K15" s="9">
        <f t="shared" si="45"/>
        <v>28</v>
      </c>
      <c r="L15" s="9"/>
      <c r="M15" s="9">
        <f t="shared" si="45"/>
        <v>3.4</v>
      </c>
      <c r="N15" s="9">
        <v>1</v>
      </c>
      <c r="O15" s="9">
        <f t="shared" si="45"/>
        <v>0.6</v>
      </c>
      <c r="P15" s="9">
        <f t="shared" si="45"/>
        <v>6.6</v>
      </c>
      <c r="Q15" s="9"/>
      <c r="R15" s="9">
        <f>AVERAGE(R3:R7)</f>
        <v>9</v>
      </c>
      <c r="S15" s="9">
        <f>AVERAGE(S3:S7)</f>
        <v>10.199999999999999</v>
      </c>
      <c r="T15" s="9">
        <f>AVERAGE(T3:T7)</f>
        <v>8.6</v>
      </c>
      <c r="U15" s="9">
        <f>AVERAGE(U3:U7)</f>
        <v>27.8</v>
      </c>
      <c r="V15" s="9"/>
      <c r="W15" s="9">
        <f t="shared" si="45"/>
        <v>7.6</v>
      </c>
      <c r="X15" s="9">
        <f t="shared" si="45"/>
        <v>7.6</v>
      </c>
      <c r="Y15" s="9">
        <f t="shared" si="45"/>
        <v>6</v>
      </c>
      <c r="Z15" s="9">
        <f t="shared" si="45"/>
        <v>21.2</v>
      </c>
      <c r="AA15" s="9"/>
      <c r="AB15" s="9">
        <f t="shared" si="45"/>
        <v>1.6</v>
      </c>
      <c r="AC15" s="9">
        <f t="shared" si="45"/>
        <v>2.2000000000000002</v>
      </c>
      <c r="AD15" s="9">
        <f>AVERAGE(AD3:AD11)</f>
        <v>2.1111111111111112</v>
      </c>
      <c r="AE15" s="9">
        <f t="shared" si="45"/>
        <v>6.2</v>
      </c>
      <c r="AF15" s="9"/>
      <c r="AG15" s="9">
        <f t="shared" si="45"/>
        <v>0.8</v>
      </c>
      <c r="AH15" s="9">
        <f t="shared" si="45"/>
        <v>1.4</v>
      </c>
      <c r="AI15" s="9">
        <f t="shared" si="45"/>
        <v>0.2</v>
      </c>
      <c r="AJ15" s="9">
        <f t="shared" si="45"/>
        <v>2.4</v>
      </c>
      <c r="AK15" s="9"/>
      <c r="AL15" s="9">
        <f>AVERAGE(AL3:AL11)</f>
        <v>0.1111111111111111</v>
      </c>
      <c r="AM15" s="9">
        <f>AVERAGE(AM3:AM11)</f>
        <v>0.33333333333333331</v>
      </c>
      <c r="AN15" s="9">
        <f>AVERAGE(AN3:AN11)</f>
        <v>0.66666666666666663</v>
      </c>
      <c r="AO15" s="9">
        <f t="shared" si="45"/>
        <v>1.4</v>
      </c>
      <c r="AP15" s="9"/>
      <c r="AQ15" s="9">
        <f t="shared" si="45"/>
        <v>32.6</v>
      </c>
      <c r="AR15" s="9">
        <f t="shared" si="45"/>
        <v>32</v>
      </c>
      <c r="AS15" s="9">
        <f t="shared" si="45"/>
        <v>22.8</v>
      </c>
      <c r="AT15" s="9">
        <f t="shared" si="45"/>
        <v>87.4</v>
      </c>
      <c r="AU15" s="9"/>
      <c r="AV15" s="9">
        <f t="shared" si="45"/>
        <v>78</v>
      </c>
      <c r="AW15" s="9">
        <f t="shared" si="45"/>
        <v>75.2</v>
      </c>
      <c r="AX15" s="9">
        <f t="shared" si="45"/>
        <v>68.8</v>
      </c>
      <c r="AY15" s="9">
        <f t="shared" si="45"/>
        <v>222</v>
      </c>
    </row>
    <row r="18" spans="42:46" x14ac:dyDescent="0.25">
      <c r="AQ18" s="27" t="s">
        <v>19</v>
      </c>
      <c r="AR18" s="28"/>
      <c r="AS18" s="28"/>
      <c r="AT18" s="28"/>
    </row>
    <row r="19" spans="42:46" x14ac:dyDescent="0.25">
      <c r="AQ19" t="s">
        <v>16</v>
      </c>
      <c r="AR19" t="s">
        <v>20</v>
      </c>
      <c r="AS19" t="s">
        <v>21</v>
      </c>
      <c r="AT19" t="s">
        <v>10</v>
      </c>
    </row>
    <row r="20" spans="42:46" x14ac:dyDescent="0.25">
      <c r="AP20" s="15">
        <v>45658</v>
      </c>
      <c r="AQ20" s="14">
        <v>0</v>
      </c>
      <c r="AR20" s="14">
        <v>0</v>
      </c>
      <c r="AS20" s="14">
        <v>0</v>
      </c>
      <c r="AT20" s="14">
        <f t="shared" ref="AT20:AT26" si="46">AQ20+AR20+AS20</f>
        <v>0</v>
      </c>
    </row>
    <row r="21" spans="42:46" x14ac:dyDescent="0.25">
      <c r="AP21" s="15">
        <v>45689</v>
      </c>
      <c r="AQ21" s="14">
        <v>0</v>
      </c>
      <c r="AR21" s="14">
        <v>0</v>
      </c>
      <c r="AS21" s="14">
        <v>0</v>
      </c>
      <c r="AT21" s="14">
        <f t="shared" si="46"/>
        <v>0</v>
      </c>
    </row>
    <row r="22" spans="42:46" x14ac:dyDescent="0.25">
      <c r="AP22" s="15">
        <v>45717</v>
      </c>
      <c r="AQ22" s="14">
        <v>0</v>
      </c>
      <c r="AR22" s="14">
        <v>0</v>
      </c>
      <c r="AS22" s="14">
        <v>0</v>
      </c>
      <c r="AT22" s="14">
        <f t="shared" si="46"/>
        <v>0</v>
      </c>
    </row>
    <row r="23" spans="42:46" x14ac:dyDescent="0.25">
      <c r="AP23" s="15">
        <v>45748</v>
      </c>
      <c r="AQ23" s="14">
        <v>0</v>
      </c>
      <c r="AR23" s="14">
        <v>0</v>
      </c>
      <c r="AS23" s="14">
        <v>0</v>
      </c>
      <c r="AT23" s="14">
        <f t="shared" si="46"/>
        <v>0</v>
      </c>
    </row>
    <row r="24" spans="42:46" x14ac:dyDescent="0.25">
      <c r="AP24" s="15">
        <v>45778</v>
      </c>
      <c r="AQ24" s="14">
        <v>0</v>
      </c>
      <c r="AR24" s="14">
        <v>0</v>
      </c>
      <c r="AS24" s="14">
        <v>0</v>
      </c>
      <c r="AT24" s="14">
        <f t="shared" si="46"/>
        <v>0</v>
      </c>
    </row>
    <row r="25" spans="42:46" x14ac:dyDescent="0.25">
      <c r="AP25" s="15">
        <v>45809</v>
      </c>
      <c r="AQ25" s="14">
        <v>0</v>
      </c>
      <c r="AR25" s="14">
        <v>0</v>
      </c>
      <c r="AS25" s="14">
        <v>0</v>
      </c>
      <c r="AT25" s="14">
        <f t="shared" si="46"/>
        <v>0</v>
      </c>
    </row>
    <row r="26" spans="42:46" x14ac:dyDescent="0.25">
      <c r="AP26" s="15">
        <v>45839</v>
      </c>
      <c r="AQ26" s="14">
        <v>0</v>
      </c>
      <c r="AR26" s="14">
        <v>0</v>
      </c>
      <c r="AS26" s="14">
        <v>0</v>
      </c>
      <c r="AT26" s="14">
        <f t="shared" si="46"/>
        <v>0</v>
      </c>
    </row>
    <row r="27" spans="42:46" x14ac:dyDescent="0.25">
      <c r="AP27" s="15">
        <v>45870</v>
      </c>
      <c r="AQ27" s="14">
        <v>0</v>
      </c>
      <c r="AR27" s="14">
        <v>0</v>
      </c>
      <c r="AS27" s="14">
        <v>0</v>
      </c>
      <c r="AT27" s="14">
        <f t="shared" ref="AT27:AT29" si="47">AQ27+AR27+AS27</f>
        <v>0</v>
      </c>
    </row>
    <row r="28" spans="42:46" x14ac:dyDescent="0.25">
      <c r="AP28" s="15">
        <v>45901</v>
      </c>
      <c r="AQ28" s="14">
        <v>0</v>
      </c>
      <c r="AR28" s="14">
        <v>0</v>
      </c>
      <c r="AS28" s="14">
        <v>0</v>
      </c>
      <c r="AT28" s="14">
        <f t="shared" si="47"/>
        <v>0</v>
      </c>
    </row>
    <row r="29" spans="42:46" x14ac:dyDescent="0.25">
      <c r="AP29" s="15">
        <v>45931</v>
      </c>
      <c r="AQ29" s="14">
        <v>0</v>
      </c>
      <c r="AR29" s="14">
        <v>0</v>
      </c>
      <c r="AS29" s="14">
        <v>0</v>
      </c>
      <c r="AT29" s="14">
        <f t="shared" si="47"/>
        <v>0</v>
      </c>
    </row>
    <row r="30" spans="42:46" x14ac:dyDescent="0.25">
      <c r="AP30" s="15">
        <v>45962</v>
      </c>
      <c r="AQ30" s="14">
        <v>0</v>
      </c>
      <c r="AR30" s="14">
        <v>0</v>
      </c>
      <c r="AS30" s="14">
        <v>0</v>
      </c>
      <c r="AT30" s="14">
        <f t="shared" ref="AT30" si="48">AQ30+AR30+AS30</f>
        <v>0</v>
      </c>
    </row>
    <row r="31" spans="42:46" x14ac:dyDescent="0.25">
      <c r="AP31" s="15">
        <v>45992</v>
      </c>
      <c r="AQ31" s="14">
        <v>0</v>
      </c>
      <c r="AR31" s="14">
        <v>0</v>
      </c>
      <c r="AS31" s="14">
        <v>0</v>
      </c>
      <c r="AT31" s="14">
        <f t="shared" ref="AT31" si="49">AQ31+AR31+AS31</f>
        <v>0</v>
      </c>
    </row>
  </sheetData>
  <mergeCells count="12">
    <mergeCell ref="AV1:AY1"/>
    <mergeCell ref="AQ18:AT18"/>
    <mergeCell ref="AG1:AJ1"/>
    <mergeCell ref="AL1:AO1"/>
    <mergeCell ref="AQ1:AT1"/>
    <mergeCell ref="AB1:AE1"/>
    <mergeCell ref="A1:B1"/>
    <mergeCell ref="C1:F1"/>
    <mergeCell ref="H1:K1"/>
    <mergeCell ref="M1:P1"/>
    <mergeCell ref="R1:U1"/>
    <mergeCell ref="W1:Z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66FC-97A5-478A-8F80-A886B1F37630}">
  <dimension ref="A1:BD31"/>
  <sheetViews>
    <sheetView tabSelected="1" topLeftCell="AD1" zoomScaleNormal="100" workbookViewId="0">
      <selection activeCell="AS29" sqref="AS29"/>
    </sheetView>
  </sheetViews>
  <sheetFormatPr defaultRowHeight="15" x14ac:dyDescent="0.25"/>
  <sheetData>
    <row r="1" spans="1:56" ht="15" customHeight="1" x14ac:dyDescent="0.25">
      <c r="A1" s="30"/>
      <c r="B1" s="31"/>
      <c r="C1" s="27" t="s">
        <v>25</v>
      </c>
      <c r="D1" s="28"/>
      <c r="E1" s="28"/>
      <c r="F1" s="29"/>
      <c r="G1" s="20"/>
      <c r="H1" s="27" t="s">
        <v>22</v>
      </c>
      <c r="I1" s="28"/>
      <c r="J1" s="28"/>
      <c r="K1" s="28"/>
      <c r="L1" s="19"/>
      <c r="M1" s="27" t="s">
        <v>12</v>
      </c>
      <c r="N1" s="28"/>
      <c r="O1" s="28"/>
      <c r="P1" s="29"/>
      <c r="Q1" s="20"/>
      <c r="R1" s="27" t="s">
        <v>13</v>
      </c>
      <c r="S1" s="28"/>
      <c r="T1" s="28"/>
      <c r="U1" s="29"/>
      <c r="V1" s="20"/>
      <c r="W1" s="27" t="s">
        <v>2</v>
      </c>
      <c r="X1" s="28"/>
      <c r="Y1" s="28"/>
      <c r="Z1" s="29"/>
      <c r="AA1" s="21"/>
      <c r="AB1" s="27" t="s">
        <v>3</v>
      </c>
      <c r="AC1" s="28"/>
      <c r="AD1" s="28"/>
      <c r="AE1" s="29"/>
      <c r="AF1" s="20"/>
      <c r="AG1" s="27" t="s">
        <v>11</v>
      </c>
      <c r="AH1" s="28"/>
      <c r="AI1" s="28"/>
      <c r="AJ1" s="28"/>
      <c r="AK1" s="20"/>
      <c r="AL1" s="27" t="s">
        <v>4</v>
      </c>
      <c r="AM1" s="28"/>
      <c r="AN1" s="28"/>
      <c r="AO1" s="28"/>
      <c r="AP1" s="20"/>
      <c r="AQ1" s="27" t="s">
        <v>14</v>
      </c>
      <c r="AR1" s="28"/>
      <c r="AS1" s="28"/>
      <c r="AT1" s="28"/>
      <c r="AU1" s="20"/>
      <c r="AV1" s="27" t="s">
        <v>15</v>
      </c>
      <c r="AW1" s="28"/>
      <c r="AX1" s="28"/>
      <c r="AY1" s="28"/>
      <c r="AZ1" s="20"/>
      <c r="BA1" s="27" t="s">
        <v>18</v>
      </c>
      <c r="BB1" s="28"/>
      <c r="BC1" s="28"/>
      <c r="BD1" s="28"/>
    </row>
    <row r="2" spans="1:56" x14ac:dyDescent="0.25">
      <c r="A2" s="2" t="s">
        <v>5</v>
      </c>
      <c r="B2" s="2" t="s">
        <v>6</v>
      </c>
      <c r="C2" s="3" t="s">
        <v>7</v>
      </c>
      <c r="D2" s="3" t="s">
        <v>8</v>
      </c>
      <c r="E2" s="3" t="s">
        <v>9</v>
      </c>
      <c r="F2" s="4" t="s">
        <v>10</v>
      </c>
      <c r="G2" s="21"/>
      <c r="H2" s="3" t="s">
        <v>16</v>
      </c>
      <c r="I2" s="3" t="s">
        <v>17</v>
      </c>
      <c r="J2" s="3" t="s">
        <v>9</v>
      </c>
      <c r="K2" s="4" t="s">
        <v>10</v>
      </c>
      <c r="L2" s="19"/>
      <c r="M2" s="3" t="s">
        <v>7</v>
      </c>
      <c r="N2" s="3" t="s">
        <v>8</v>
      </c>
      <c r="O2" s="3" t="s">
        <v>9</v>
      </c>
      <c r="P2" s="4" t="s">
        <v>10</v>
      </c>
      <c r="Q2" s="21"/>
      <c r="R2" s="3" t="s">
        <v>7</v>
      </c>
      <c r="S2" s="3" t="s">
        <v>8</v>
      </c>
      <c r="T2" s="3" t="s">
        <v>9</v>
      </c>
      <c r="U2" s="4" t="s">
        <v>10</v>
      </c>
      <c r="V2" s="21"/>
      <c r="W2" s="3" t="s">
        <v>7</v>
      </c>
      <c r="X2" s="3" t="s">
        <v>8</v>
      </c>
      <c r="Y2" s="3" t="s">
        <v>9</v>
      </c>
      <c r="Z2" s="4" t="s">
        <v>10</v>
      </c>
      <c r="AA2" s="21"/>
      <c r="AB2" s="3" t="s">
        <v>7</v>
      </c>
      <c r="AC2" s="3" t="s">
        <v>8</v>
      </c>
      <c r="AD2" s="3" t="s">
        <v>9</v>
      </c>
      <c r="AE2" s="4" t="s">
        <v>10</v>
      </c>
      <c r="AF2" s="21"/>
      <c r="AG2" s="3" t="s">
        <v>7</v>
      </c>
      <c r="AH2" s="3" t="s">
        <v>8</v>
      </c>
      <c r="AI2" s="3" t="s">
        <v>9</v>
      </c>
      <c r="AJ2" s="4" t="s">
        <v>10</v>
      </c>
      <c r="AK2" s="21"/>
      <c r="AL2" s="3" t="s">
        <v>7</v>
      </c>
      <c r="AM2" s="3" t="s">
        <v>8</v>
      </c>
      <c r="AN2" s="3" t="s">
        <v>9</v>
      </c>
      <c r="AO2" s="4" t="s">
        <v>10</v>
      </c>
      <c r="AP2" s="21"/>
      <c r="AQ2" s="3" t="s">
        <v>16</v>
      </c>
      <c r="AR2" s="3" t="s">
        <v>17</v>
      </c>
      <c r="AS2" s="3" t="s">
        <v>9</v>
      </c>
      <c r="AT2" s="4" t="s">
        <v>10</v>
      </c>
      <c r="AU2" s="21"/>
      <c r="AV2" s="3" t="s">
        <v>16</v>
      </c>
      <c r="AW2" s="3" t="s">
        <v>17</v>
      </c>
      <c r="AX2" s="3" t="s">
        <v>9</v>
      </c>
      <c r="AY2" s="4" t="s">
        <v>10</v>
      </c>
      <c r="AZ2" s="21"/>
      <c r="BA2" s="3" t="s">
        <v>16</v>
      </c>
      <c r="BB2" s="3" t="s">
        <v>17</v>
      </c>
      <c r="BC2" s="3" t="s">
        <v>9</v>
      </c>
      <c r="BD2" s="4" t="s">
        <v>10</v>
      </c>
    </row>
    <row r="3" spans="1:56" x14ac:dyDescent="0.25">
      <c r="A3" s="5">
        <v>31</v>
      </c>
      <c r="B3" s="6">
        <v>46023</v>
      </c>
      <c r="C3" s="7">
        <v>42</v>
      </c>
      <c r="D3" s="7">
        <v>40</v>
      </c>
      <c r="E3" s="7">
        <v>48</v>
      </c>
      <c r="F3" s="7">
        <f t="shared" ref="F3:F14" si="0">C3+D3+E3</f>
        <v>130</v>
      </c>
      <c r="G3" s="21"/>
      <c r="H3" s="7">
        <v>0</v>
      </c>
      <c r="I3" s="7">
        <v>0</v>
      </c>
      <c r="J3" s="7">
        <v>0</v>
      </c>
      <c r="K3" s="7">
        <f t="shared" ref="K3:K14" si="1">H3+I3+J3</f>
        <v>0</v>
      </c>
      <c r="L3" s="19"/>
      <c r="M3" s="7">
        <v>6</v>
      </c>
      <c r="N3" s="7">
        <v>4</v>
      </c>
      <c r="O3" s="7">
        <v>6</v>
      </c>
      <c r="P3" s="7">
        <f>M3+N3+O3</f>
        <v>16</v>
      </c>
      <c r="Q3" s="21"/>
      <c r="R3" s="7">
        <v>2</v>
      </c>
      <c r="S3" s="7">
        <v>1</v>
      </c>
      <c r="T3" s="7">
        <v>2</v>
      </c>
      <c r="U3" s="7">
        <f t="shared" ref="U3:U14" si="2">R3+S3+T3</f>
        <v>5</v>
      </c>
      <c r="V3" s="21"/>
      <c r="W3" s="7">
        <v>7</v>
      </c>
      <c r="X3" s="7">
        <v>11</v>
      </c>
      <c r="Y3" s="7">
        <v>11</v>
      </c>
      <c r="Z3" s="7">
        <f t="shared" ref="Z3:Z14" si="3">W3+Y3+X3</f>
        <v>29</v>
      </c>
      <c r="AA3" s="21"/>
      <c r="AB3" s="7">
        <v>11</v>
      </c>
      <c r="AC3" s="7">
        <v>7</v>
      </c>
      <c r="AD3" s="7">
        <v>9</v>
      </c>
      <c r="AE3" s="7">
        <f t="shared" ref="AE3:AE14" si="4">AB3+AC3+AD3</f>
        <v>27</v>
      </c>
      <c r="AF3" s="21"/>
      <c r="AG3" s="7">
        <v>2</v>
      </c>
      <c r="AH3" s="7">
        <v>1</v>
      </c>
      <c r="AI3" s="7">
        <v>2</v>
      </c>
      <c r="AJ3" s="7">
        <f>AG3+AH3+AI3</f>
        <v>5</v>
      </c>
      <c r="AK3" s="21"/>
      <c r="AL3" s="7">
        <v>0</v>
      </c>
      <c r="AM3" s="7">
        <v>0</v>
      </c>
      <c r="AN3" s="7">
        <v>0</v>
      </c>
      <c r="AO3" s="7">
        <f t="shared" ref="AO3:AO14" si="5">AL3+AM3+AN3</f>
        <v>0</v>
      </c>
      <c r="AP3" s="21"/>
      <c r="AQ3" s="7">
        <v>0</v>
      </c>
      <c r="AR3" s="7">
        <v>0</v>
      </c>
      <c r="AS3" s="7">
        <v>0</v>
      </c>
      <c r="AT3" s="7">
        <f>AQ3+AR3+AS3</f>
        <v>0</v>
      </c>
      <c r="AU3" s="21"/>
      <c r="AV3" s="7">
        <f t="shared" ref="AV3:AV14" si="6">W3+M3+R3+AB3+AL3+AQ3+AQ20</f>
        <v>26</v>
      </c>
      <c r="AW3" s="7">
        <f t="shared" ref="AW3:AW14" si="7">X3+N3+S3+AC3+AM3+AR3+AR20</f>
        <v>23</v>
      </c>
      <c r="AX3" s="7">
        <f t="shared" ref="AX3:AX14" si="8">Y3+O3+T3+AD3+AN3+AS3+AS20</f>
        <v>28</v>
      </c>
      <c r="AY3" s="7">
        <f>AV3+AW3+AX3</f>
        <v>77</v>
      </c>
      <c r="AZ3" s="21"/>
      <c r="BA3" s="7">
        <f t="shared" ref="BA3:BA14" si="9">C3+W3+M3+R3+AB3+AG3+AL3+AQ3+AQ20+H3+AK20</f>
        <v>70</v>
      </c>
      <c r="BB3" s="7">
        <f t="shared" ref="BB3:BB14" si="10">D3+X3+N3+S3+AC3+AH3+AM3+AR3+AR20+I3+AL20</f>
        <v>64</v>
      </c>
      <c r="BC3" s="7">
        <f t="shared" ref="BC3:BC14" si="11">E3+Y3+O3+T3+AD3+AI3+AN3+AS3+AS20+J3+AM20</f>
        <v>78</v>
      </c>
      <c r="BD3" s="7">
        <f>BA3+BB3+BC3</f>
        <v>212</v>
      </c>
    </row>
    <row r="4" spans="1:56" x14ac:dyDescent="0.25">
      <c r="A4" s="5">
        <v>29</v>
      </c>
      <c r="B4" s="6">
        <v>46054</v>
      </c>
      <c r="C4" s="7">
        <v>42</v>
      </c>
      <c r="D4" s="7">
        <v>49</v>
      </c>
      <c r="E4" s="7">
        <v>43</v>
      </c>
      <c r="F4" s="7">
        <f t="shared" si="0"/>
        <v>134</v>
      </c>
      <c r="G4" s="21"/>
      <c r="H4" s="7">
        <v>0</v>
      </c>
      <c r="I4" s="7">
        <v>0</v>
      </c>
      <c r="J4" s="7">
        <v>0</v>
      </c>
      <c r="K4" s="7">
        <f t="shared" si="1"/>
        <v>0</v>
      </c>
      <c r="L4" s="19"/>
      <c r="M4" s="7">
        <v>7</v>
      </c>
      <c r="N4" s="7">
        <v>8</v>
      </c>
      <c r="O4" s="7">
        <v>6</v>
      </c>
      <c r="P4" s="7">
        <f t="shared" ref="P4:P14" si="12">M4+N4+O4</f>
        <v>21</v>
      </c>
      <c r="Q4" s="21"/>
      <c r="R4" s="7">
        <v>2</v>
      </c>
      <c r="S4" s="7">
        <v>0</v>
      </c>
      <c r="T4" s="7">
        <v>1</v>
      </c>
      <c r="U4" s="7">
        <f t="shared" si="2"/>
        <v>3</v>
      </c>
      <c r="V4" s="21"/>
      <c r="W4" s="7">
        <v>9</v>
      </c>
      <c r="X4" s="7">
        <v>14</v>
      </c>
      <c r="Y4" s="7">
        <v>9</v>
      </c>
      <c r="Z4" s="7">
        <f t="shared" si="3"/>
        <v>32</v>
      </c>
      <c r="AA4" s="21"/>
      <c r="AB4" s="7">
        <v>9</v>
      </c>
      <c r="AC4" s="7">
        <v>11</v>
      </c>
      <c r="AD4" s="7">
        <v>7</v>
      </c>
      <c r="AE4" s="7">
        <f t="shared" si="4"/>
        <v>27</v>
      </c>
      <c r="AF4" s="21"/>
      <c r="AG4" s="7">
        <v>1</v>
      </c>
      <c r="AH4" s="7">
        <v>0</v>
      </c>
      <c r="AI4" s="7">
        <v>1</v>
      </c>
      <c r="AJ4" s="7">
        <f t="shared" ref="AJ4:AJ14" si="13">AG4+AH4+AI4</f>
        <v>2</v>
      </c>
      <c r="AK4" s="21"/>
      <c r="AL4" s="7">
        <v>0</v>
      </c>
      <c r="AM4" s="7">
        <v>0</v>
      </c>
      <c r="AN4" s="7">
        <v>0</v>
      </c>
      <c r="AO4" s="7">
        <f t="shared" si="5"/>
        <v>0</v>
      </c>
      <c r="AP4" s="21"/>
      <c r="AQ4" s="7">
        <v>0</v>
      </c>
      <c r="AR4" s="7">
        <v>0</v>
      </c>
      <c r="AS4" s="7">
        <v>0</v>
      </c>
      <c r="AT4" s="7">
        <f>AQ3+AR4+AS4</f>
        <v>0</v>
      </c>
      <c r="AU4" s="21"/>
      <c r="AV4" s="7">
        <f t="shared" si="6"/>
        <v>27</v>
      </c>
      <c r="AW4" s="7">
        <f t="shared" si="7"/>
        <v>33</v>
      </c>
      <c r="AX4" s="7">
        <f t="shared" si="8"/>
        <v>23</v>
      </c>
      <c r="AY4" s="7">
        <f>AV4+AW4+AX4</f>
        <v>83</v>
      </c>
      <c r="AZ4" s="21"/>
      <c r="BA4" s="7">
        <f t="shared" si="9"/>
        <v>70</v>
      </c>
      <c r="BB4" s="7">
        <f t="shared" si="10"/>
        <v>82</v>
      </c>
      <c r="BC4" s="7">
        <f t="shared" si="11"/>
        <v>67</v>
      </c>
      <c r="BD4" s="7">
        <f>BA4+BB4+BC4</f>
        <v>219</v>
      </c>
    </row>
    <row r="5" spans="1:56" x14ac:dyDescent="0.25">
      <c r="A5" s="5">
        <v>31</v>
      </c>
      <c r="B5" s="6">
        <v>46082</v>
      </c>
      <c r="C5" s="7">
        <v>22</v>
      </c>
      <c r="D5" s="7">
        <v>14</v>
      </c>
      <c r="E5" s="7">
        <v>13</v>
      </c>
      <c r="F5" s="7">
        <f t="shared" si="0"/>
        <v>49</v>
      </c>
      <c r="G5" s="21"/>
      <c r="H5" s="7">
        <v>1</v>
      </c>
      <c r="I5" s="7">
        <v>27</v>
      </c>
      <c r="J5" s="7">
        <v>13</v>
      </c>
      <c r="K5" s="7">
        <f t="shared" si="1"/>
        <v>41</v>
      </c>
      <c r="L5" s="19"/>
      <c r="M5" s="7">
        <v>8</v>
      </c>
      <c r="N5" s="7">
        <v>3</v>
      </c>
      <c r="O5" s="7">
        <v>8</v>
      </c>
      <c r="P5" s="7">
        <f t="shared" si="12"/>
        <v>19</v>
      </c>
      <c r="Q5" s="21"/>
      <c r="R5" s="7">
        <v>2</v>
      </c>
      <c r="S5" s="7">
        <v>5</v>
      </c>
      <c r="T5" s="7">
        <v>4</v>
      </c>
      <c r="U5" s="7">
        <f t="shared" si="2"/>
        <v>11</v>
      </c>
      <c r="V5" s="21"/>
      <c r="W5" s="7">
        <v>1</v>
      </c>
      <c r="X5" s="7">
        <v>9</v>
      </c>
      <c r="Y5" s="7">
        <v>8</v>
      </c>
      <c r="Z5" s="7">
        <f t="shared" si="3"/>
        <v>18</v>
      </c>
      <c r="AA5" s="21"/>
      <c r="AB5" s="7">
        <v>9</v>
      </c>
      <c r="AC5" s="7">
        <v>12</v>
      </c>
      <c r="AD5" s="7">
        <v>7</v>
      </c>
      <c r="AE5" s="7">
        <f t="shared" si="4"/>
        <v>28</v>
      </c>
      <c r="AF5" s="21"/>
      <c r="AG5" s="7">
        <v>2</v>
      </c>
      <c r="AH5" s="7">
        <v>2</v>
      </c>
      <c r="AI5" s="7">
        <v>2</v>
      </c>
      <c r="AJ5" s="7">
        <f t="shared" si="13"/>
        <v>6</v>
      </c>
      <c r="AK5" s="21"/>
      <c r="AL5" s="7">
        <v>0</v>
      </c>
      <c r="AM5" s="7">
        <v>0</v>
      </c>
      <c r="AN5" s="7">
        <v>1</v>
      </c>
      <c r="AO5" s="7">
        <f t="shared" si="5"/>
        <v>1</v>
      </c>
      <c r="AP5" s="21"/>
      <c r="AQ5" s="7">
        <v>1</v>
      </c>
      <c r="AR5" s="7">
        <v>0</v>
      </c>
      <c r="AS5" s="7">
        <v>2</v>
      </c>
      <c r="AT5" s="7">
        <f t="shared" ref="AT5:AT14" si="14">AQ5+AR5+AS5</f>
        <v>3</v>
      </c>
      <c r="AU5" s="21"/>
      <c r="AV5" s="7">
        <f t="shared" si="6"/>
        <v>21</v>
      </c>
      <c r="AW5" s="7">
        <f t="shared" si="7"/>
        <v>29</v>
      </c>
      <c r="AX5" s="7">
        <f t="shared" si="8"/>
        <v>30</v>
      </c>
      <c r="AY5" s="7">
        <f t="shared" ref="AY5:AY14" si="15">AV5+AW5+AX5</f>
        <v>80</v>
      </c>
      <c r="AZ5" s="21"/>
      <c r="BA5" s="7">
        <f t="shared" si="9"/>
        <v>46</v>
      </c>
      <c r="BB5" s="7">
        <f t="shared" si="10"/>
        <v>72</v>
      </c>
      <c r="BC5" s="7">
        <f t="shared" si="11"/>
        <v>58</v>
      </c>
      <c r="BD5" s="7">
        <f t="shared" ref="BD5:BD14" si="16">BA5+BB5+BC5</f>
        <v>176</v>
      </c>
    </row>
    <row r="6" spans="1:56" x14ac:dyDescent="0.25">
      <c r="A6" s="22">
        <v>30</v>
      </c>
      <c r="B6" s="23">
        <v>46113</v>
      </c>
      <c r="C6" s="24">
        <v>14</v>
      </c>
      <c r="D6" s="24">
        <v>15</v>
      </c>
      <c r="E6" s="24">
        <v>17</v>
      </c>
      <c r="F6" s="24">
        <f t="shared" si="0"/>
        <v>46</v>
      </c>
      <c r="G6" s="21"/>
      <c r="H6" s="24">
        <v>4</v>
      </c>
      <c r="I6" s="24">
        <v>9</v>
      </c>
      <c r="J6" s="24">
        <v>14</v>
      </c>
      <c r="K6" s="24">
        <f t="shared" si="1"/>
        <v>27</v>
      </c>
      <c r="L6" s="19"/>
      <c r="M6" s="24">
        <v>10</v>
      </c>
      <c r="N6" s="24">
        <v>18</v>
      </c>
      <c r="O6" s="24">
        <v>15</v>
      </c>
      <c r="P6" s="24">
        <f t="shared" si="12"/>
        <v>43</v>
      </c>
      <c r="Q6" s="21"/>
      <c r="R6" s="24">
        <v>3</v>
      </c>
      <c r="S6" s="24">
        <v>5</v>
      </c>
      <c r="T6" s="24">
        <v>5</v>
      </c>
      <c r="U6" s="24">
        <f t="shared" si="2"/>
        <v>13</v>
      </c>
      <c r="V6" s="21"/>
      <c r="W6" s="24">
        <v>9</v>
      </c>
      <c r="X6" s="24">
        <v>12</v>
      </c>
      <c r="Y6" s="24">
        <v>14</v>
      </c>
      <c r="Z6" s="24">
        <f t="shared" si="3"/>
        <v>35</v>
      </c>
      <c r="AA6" s="21"/>
      <c r="AB6" s="24">
        <v>9</v>
      </c>
      <c r="AC6" s="24">
        <v>9</v>
      </c>
      <c r="AD6" s="24">
        <v>14</v>
      </c>
      <c r="AE6" s="24">
        <f t="shared" si="4"/>
        <v>32</v>
      </c>
      <c r="AF6" s="21"/>
      <c r="AG6" s="24">
        <v>1</v>
      </c>
      <c r="AH6" s="24">
        <v>5</v>
      </c>
      <c r="AI6" s="24">
        <v>3</v>
      </c>
      <c r="AJ6" s="24">
        <f t="shared" si="13"/>
        <v>9</v>
      </c>
      <c r="AK6" s="21"/>
      <c r="AL6" s="24">
        <v>0</v>
      </c>
      <c r="AM6" s="24">
        <v>0</v>
      </c>
      <c r="AN6" s="24">
        <v>0</v>
      </c>
      <c r="AO6" s="24">
        <f t="shared" si="5"/>
        <v>0</v>
      </c>
      <c r="AP6" s="21"/>
      <c r="AQ6" s="24">
        <v>0</v>
      </c>
      <c r="AR6" s="24">
        <v>1</v>
      </c>
      <c r="AS6" s="24">
        <v>0</v>
      </c>
      <c r="AT6" s="24">
        <f t="shared" si="14"/>
        <v>1</v>
      </c>
      <c r="AU6" s="21"/>
      <c r="AV6" s="24">
        <f t="shared" si="6"/>
        <v>31</v>
      </c>
      <c r="AW6" s="24">
        <f t="shared" si="7"/>
        <v>45</v>
      </c>
      <c r="AX6" s="24">
        <f t="shared" si="8"/>
        <v>48</v>
      </c>
      <c r="AY6" s="24">
        <f t="shared" si="15"/>
        <v>124</v>
      </c>
      <c r="AZ6" s="21"/>
      <c r="BA6" s="24">
        <f t="shared" si="9"/>
        <v>50</v>
      </c>
      <c r="BB6" s="24">
        <f t="shared" si="10"/>
        <v>74</v>
      </c>
      <c r="BC6" s="24">
        <f t="shared" si="11"/>
        <v>82</v>
      </c>
      <c r="BD6" s="24">
        <f t="shared" si="16"/>
        <v>206</v>
      </c>
    </row>
    <row r="7" spans="1:56" x14ac:dyDescent="0.25">
      <c r="A7" s="22">
        <v>31</v>
      </c>
      <c r="B7" s="23">
        <v>46143</v>
      </c>
      <c r="C7" s="24">
        <v>16</v>
      </c>
      <c r="D7" s="24">
        <v>15</v>
      </c>
      <c r="E7" s="24">
        <v>18</v>
      </c>
      <c r="F7" s="24">
        <f>C7+D7+E7</f>
        <v>49</v>
      </c>
      <c r="G7" s="21"/>
      <c r="H7" s="24">
        <v>12</v>
      </c>
      <c r="I7" s="24">
        <v>10</v>
      </c>
      <c r="J7" s="24">
        <v>8</v>
      </c>
      <c r="K7" s="24">
        <f t="shared" si="1"/>
        <v>30</v>
      </c>
      <c r="L7" s="19"/>
      <c r="M7" s="24">
        <v>17</v>
      </c>
      <c r="N7" s="24">
        <v>18</v>
      </c>
      <c r="O7" s="24">
        <v>11</v>
      </c>
      <c r="P7" s="24">
        <f t="shared" si="12"/>
        <v>46</v>
      </c>
      <c r="Q7" s="21"/>
      <c r="R7" s="24">
        <v>7</v>
      </c>
      <c r="S7" s="24">
        <v>7</v>
      </c>
      <c r="T7" s="24">
        <v>3</v>
      </c>
      <c r="U7" s="24">
        <f t="shared" si="2"/>
        <v>17</v>
      </c>
      <c r="V7" s="21"/>
      <c r="W7" s="24">
        <v>9</v>
      </c>
      <c r="X7" s="24">
        <v>9</v>
      </c>
      <c r="Y7" s="24">
        <v>4</v>
      </c>
      <c r="Z7" s="24">
        <f t="shared" si="3"/>
        <v>22</v>
      </c>
      <c r="AA7" s="21"/>
      <c r="AB7" s="24">
        <v>9</v>
      </c>
      <c r="AC7" s="24">
        <v>12</v>
      </c>
      <c r="AD7" s="24">
        <v>8</v>
      </c>
      <c r="AE7" s="24">
        <f t="shared" si="4"/>
        <v>29</v>
      </c>
      <c r="AF7" s="21"/>
      <c r="AG7" s="24">
        <v>1</v>
      </c>
      <c r="AH7" s="24">
        <v>2</v>
      </c>
      <c r="AI7" s="24">
        <v>1</v>
      </c>
      <c r="AJ7" s="24">
        <f t="shared" si="13"/>
        <v>4</v>
      </c>
      <c r="AK7" s="21"/>
      <c r="AL7" s="24">
        <v>0</v>
      </c>
      <c r="AM7" s="24">
        <v>0</v>
      </c>
      <c r="AN7" s="24">
        <v>0</v>
      </c>
      <c r="AO7" s="24">
        <f t="shared" si="5"/>
        <v>0</v>
      </c>
      <c r="AP7" s="21"/>
      <c r="AQ7" s="24">
        <v>0</v>
      </c>
      <c r="AR7" s="24">
        <v>0</v>
      </c>
      <c r="AS7" s="24">
        <v>1</v>
      </c>
      <c r="AT7" s="24">
        <f t="shared" si="14"/>
        <v>1</v>
      </c>
      <c r="AU7" s="21"/>
      <c r="AV7" s="24">
        <f t="shared" si="6"/>
        <v>42</v>
      </c>
      <c r="AW7" s="24">
        <f t="shared" si="7"/>
        <v>46</v>
      </c>
      <c r="AX7" s="24">
        <f t="shared" si="8"/>
        <v>27</v>
      </c>
      <c r="AY7" s="24">
        <f t="shared" si="15"/>
        <v>115</v>
      </c>
      <c r="AZ7" s="21"/>
      <c r="BA7" s="24">
        <f t="shared" si="9"/>
        <v>71</v>
      </c>
      <c r="BB7" s="24">
        <f t="shared" si="10"/>
        <v>73</v>
      </c>
      <c r="BC7" s="24">
        <f t="shared" si="11"/>
        <v>54</v>
      </c>
      <c r="BD7" s="24">
        <f t="shared" si="16"/>
        <v>198</v>
      </c>
    </row>
    <row r="8" spans="1:56" x14ac:dyDescent="0.25">
      <c r="A8" s="22">
        <v>30</v>
      </c>
      <c r="B8" s="23">
        <v>46174</v>
      </c>
      <c r="C8" s="24">
        <v>23</v>
      </c>
      <c r="D8" s="24">
        <v>28</v>
      </c>
      <c r="E8" s="24">
        <v>27</v>
      </c>
      <c r="F8" s="24">
        <f t="shared" si="0"/>
        <v>78</v>
      </c>
      <c r="G8" s="21"/>
      <c r="H8" s="24">
        <v>9</v>
      </c>
      <c r="I8" s="24">
        <v>11</v>
      </c>
      <c r="J8" s="24">
        <v>10</v>
      </c>
      <c r="K8" s="24">
        <f t="shared" si="1"/>
        <v>30</v>
      </c>
      <c r="L8" s="19"/>
      <c r="M8" s="24">
        <v>14</v>
      </c>
      <c r="N8" s="24">
        <v>15</v>
      </c>
      <c r="O8" s="24">
        <v>10</v>
      </c>
      <c r="P8" s="24">
        <f t="shared" si="12"/>
        <v>39</v>
      </c>
      <c r="Q8" s="21"/>
      <c r="R8" s="24">
        <v>7</v>
      </c>
      <c r="S8" s="24">
        <v>2</v>
      </c>
      <c r="T8" s="24">
        <v>4</v>
      </c>
      <c r="U8" s="24">
        <f t="shared" si="2"/>
        <v>13</v>
      </c>
      <c r="V8" s="21"/>
      <c r="W8" s="24">
        <v>8</v>
      </c>
      <c r="X8" s="24">
        <v>6</v>
      </c>
      <c r="Y8" s="24">
        <v>5</v>
      </c>
      <c r="Z8" s="24">
        <f t="shared" si="3"/>
        <v>19</v>
      </c>
      <c r="AA8" s="21"/>
      <c r="AB8" s="24">
        <v>11</v>
      </c>
      <c r="AC8" s="24">
        <v>10</v>
      </c>
      <c r="AD8" s="24">
        <v>10</v>
      </c>
      <c r="AE8" s="24">
        <f t="shared" si="4"/>
        <v>31</v>
      </c>
      <c r="AF8" s="21"/>
      <c r="AG8" s="24">
        <v>2</v>
      </c>
      <c r="AH8" s="24">
        <v>1</v>
      </c>
      <c r="AI8" s="24">
        <v>1</v>
      </c>
      <c r="AJ8" s="24">
        <f t="shared" si="13"/>
        <v>4</v>
      </c>
      <c r="AK8" s="21"/>
      <c r="AL8" s="24">
        <v>0</v>
      </c>
      <c r="AM8" s="24">
        <v>0</v>
      </c>
      <c r="AN8" s="24">
        <v>0</v>
      </c>
      <c r="AO8" s="24">
        <f t="shared" si="5"/>
        <v>0</v>
      </c>
      <c r="AP8" s="21"/>
      <c r="AQ8" s="24">
        <v>1</v>
      </c>
      <c r="AR8" s="24">
        <v>0</v>
      </c>
      <c r="AS8" s="24">
        <v>0</v>
      </c>
      <c r="AT8" s="24">
        <f t="shared" si="14"/>
        <v>1</v>
      </c>
      <c r="AU8" s="21"/>
      <c r="AV8" s="24">
        <f t="shared" si="6"/>
        <v>41</v>
      </c>
      <c r="AW8" s="24">
        <f>X8+N8+S8+AC8+AM8+AR8+AR25</f>
        <v>33</v>
      </c>
      <c r="AX8" s="24">
        <f t="shared" si="8"/>
        <v>29</v>
      </c>
      <c r="AY8" s="24">
        <f t="shared" si="15"/>
        <v>103</v>
      </c>
      <c r="AZ8" s="21"/>
      <c r="BA8" s="24">
        <f t="shared" si="9"/>
        <v>75</v>
      </c>
      <c r="BB8" s="24">
        <f t="shared" si="10"/>
        <v>73</v>
      </c>
      <c r="BC8" s="24">
        <f t="shared" si="11"/>
        <v>67</v>
      </c>
      <c r="BD8" s="24">
        <f t="shared" si="16"/>
        <v>215</v>
      </c>
    </row>
    <row r="9" spans="1:56" x14ac:dyDescent="0.25">
      <c r="A9" s="5">
        <v>31</v>
      </c>
      <c r="B9" s="6">
        <v>46204</v>
      </c>
      <c r="C9" s="7">
        <v>43</v>
      </c>
      <c r="D9" s="7">
        <v>27</v>
      </c>
      <c r="E9" s="7">
        <v>22</v>
      </c>
      <c r="F9" s="7">
        <f t="shared" si="0"/>
        <v>92</v>
      </c>
      <c r="G9" s="25"/>
      <c r="H9" s="7">
        <v>13</v>
      </c>
      <c r="I9" s="7">
        <v>15</v>
      </c>
      <c r="J9" s="7">
        <v>11</v>
      </c>
      <c r="K9" s="7">
        <f t="shared" si="1"/>
        <v>39</v>
      </c>
      <c r="L9" s="26"/>
      <c r="M9" s="7">
        <v>9</v>
      </c>
      <c r="N9" s="7">
        <v>6</v>
      </c>
      <c r="O9" s="7">
        <v>4</v>
      </c>
      <c r="P9" s="7">
        <f t="shared" si="12"/>
        <v>19</v>
      </c>
      <c r="Q9" s="25"/>
      <c r="R9" s="7">
        <v>3</v>
      </c>
      <c r="S9" s="7">
        <v>3</v>
      </c>
      <c r="T9" s="7">
        <v>1</v>
      </c>
      <c r="U9" s="7">
        <f t="shared" si="2"/>
        <v>7</v>
      </c>
      <c r="V9" s="25"/>
      <c r="W9" s="7">
        <v>3</v>
      </c>
      <c r="X9" s="7">
        <v>3</v>
      </c>
      <c r="Y9" s="7">
        <v>7</v>
      </c>
      <c r="Z9" s="7">
        <f t="shared" si="3"/>
        <v>13</v>
      </c>
      <c r="AA9" s="25"/>
      <c r="AB9" s="7">
        <v>11</v>
      </c>
      <c r="AC9" s="7">
        <v>8</v>
      </c>
      <c r="AD9" s="7">
        <v>11</v>
      </c>
      <c r="AE9" s="7">
        <f t="shared" si="4"/>
        <v>30</v>
      </c>
      <c r="AF9" s="25"/>
      <c r="AG9" s="7">
        <v>1</v>
      </c>
      <c r="AH9" s="7">
        <v>0</v>
      </c>
      <c r="AI9" s="7">
        <v>2</v>
      </c>
      <c r="AJ9" s="7">
        <f t="shared" si="13"/>
        <v>3</v>
      </c>
      <c r="AK9" s="25"/>
      <c r="AL9" s="7">
        <v>0</v>
      </c>
      <c r="AM9" s="7">
        <v>0</v>
      </c>
      <c r="AN9" s="7">
        <v>0</v>
      </c>
      <c r="AO9" s="7">
        <f t="shared" si="5"/>
        <v>0</v>
      </c>
      <c r="AP9" s="25"/>
      <c r="AQ9" s="7">
        <v>1</v>
      </c>
      <c r="AR9" s="7">
        <v>1</v>
      </c>
      <c r="AS9" s="7">
        <v>3</v>
      </c>
      <c r="AT9" s="7">
        <f t="shared" si="14"/>
        <v>5</v>
      </c>
      <c r="AU9" s="25"/>
      <c r="AV9" s="7">
        <f t="shared" si="6"/>
        <v>27</v>
      </c>
      <c r="AW9" s="7">
        <f t="shared" si="7"/>
        <v>21</v>
      </c>
      <c r="AX9" s="7">
        <f t="shared" si="8"/>
        <v>26</v>
      </c>
      <c r="AY9" s="7">
        <f t="shared" si="15"/>
        <v>74</v>
      </c>
      <c r="AZ9" s="25"/>
      <c r="BA9" s="7">
        <f t="shared" si="9"/>
        <v>84</v>
      </c>
      <c r="BB9" s="7">
        <f t="shared" si="10"/>
        <v>63</v>
      </c>
      <c r="BC9" s="7">
        <f t="shared" si="11"/>
        <v>61</v>
      </c>
      <c r="BD9" s="7">
        <f t="shared" si="16"/>
        <v>208</v>
      </c>
    </row>
    <row r="10" spans="1:56" x14ac:dyDescent="0.25">
      <c r="A10" s="5">
        <v>31</v>
      </c>
      <c r="B10" s="6">
        <v>46235</v>
      </c>
      <c r="C10" s="7">
        <v>28</v>
      </c>
      <c r="D10" s="7">
        <v>35</v>
      </c>
      <c r="E10" s="7">
        <v>51</v>
      </c>
      <c r="F10" s="7">
        <f t="shared" si="0"/>
        <v>114</v>
      </c>
      <c r="G10" s="25"/>
      <c r="H10" s="7">
        <v>14</v>
      </c>
      <c r="I10" s="7">
        <v>10</v>
      </c>
      <c r="J10" s="7">
        <v>10</v>
      </c>
      <c r="K10" s="7">
        <f t="shared" si="1"/>
        <v>34</v>
      </c>
      <c r="L10" s="26"/>
      <c r="M10" s="7">
        <v>5</v>
      </c>
      <c r="N10" s="7">
        <v>7</v>
      </c>
      <c r="O10" s="7">
        <v>2</v>
      </c>
      <c r="P10" s="7">
        <f t="shared" si="12"/>
        <v>14</v>
      </c>
      <c r="Q10" s="25"/>
      <c r="R10" s="7">
        <v>1</v>
      </c>
      <c r="S10" s="7">
        <v>3</v>
      </c>
      <c r="T10" s="7">
        <v>4</v>
      </c>
      <c r="U10" s="7">
        <f t="shared" si="2"/>
        <v>8</v>
      </c>
      <c r="V10" s="25"/>
      <c r="W10" s="7">
        <v>7</v>
      </c>
      <c r="X10" s="7">
        <v>8</v>
      </c>
      <c r="Y10" s="7">
        <v>7</v>
      </c>
      <c r="Z10" s="7">
        <f t="shared" si="3"/>
        <v>22</v>
      </c>
      <c r="AA10" s="25"/>
      <c r="AB10" s="7">
        <v>11</v>
      </c>
      <c r="AC10" s="7">
        <v>10</v>
      </c>
      <c r="AD10" s="7">
        <v>14</v>
      </c>
      <c r="AE10" s="7">
        <f t="shared" si="4"/>
        <v>35</v>
      </c>
      <c r="AG10" s="7">
        <v>1</v>
      </c>
      <c r="AH10" s="7">
        <v>2</v>
      </c>
      <c r="AI10" s="7">
        <v>6</v>
      </c>
      <c r="AJ10" s="7">
        <f t="shared" si="13"/>
        <v>9</v>
      </c>
      <c r="AK10" s="25"/>
      <c r="AL10" s="7">
        <v>0</v>
      </c>
      <c r="AM10" s="7">
        <v>0</v>
      </c>
      <c r="AN10" s="7">
        <v>1</v>
      </c>
      <c r="AO10" s="7">
        <f t="shared" si="5"/>
        <v>1</v>
      </c>
      <c r="AP10" s="25"/>
      <c r="AQ10" s="7">
        <v>4</v>
      </c>
      <c r="AR10" s="7">
        <v>8</v>
      </c>
      <c r="AS10" s="7">
        <v>10</v>
      </c>
      <c r="AT10" s="7">
        <f t="shared" si="14"/>
        <v>22</v>
      </c>
      <c r="AU10" s="25"/>
      <c r="AV10" s="7">
        <f t="shared" si="6"/>
        <v>28</v>
      </c>
      <c r="AW10" s="7">
        <f t="shared" si="7"/>
        <v>36</v>
      </c>
      <c r="AX10" s="7">
        <f t="shared" si="8"/>
        <v>38</v>
      </c>
      <c r="AY10" s="7">
        <f t="shared" si="15"/>
        <v>102</v>
      </c>
      <c r="AZ10" s="25"/>
      <c r="BA10" s="7">
        <f t="shared" si="9"/>
        <v>71</v>
      </c>
      <c r="BB10" s="7">
        <f t="shared" si="10"/>
        <v>83</v>
      </c>
      <c r="BC10" s="7">
        <f>E10+Y10+O10+T10+AD10+AI10+AN10+AS10+AS27+J10+AM27</f>
        <v>105</v>
      </c>
      <c r="BD10" s="7">
        <f>BA10+BB10+BC10</f>
        <v>259</v>
      </c>
    </row>
    <row r="11" spans="1:56" x14ac:dyDescent="0.25">
      <c r="A11" s="11">
        <v>30</v>
      </c>
      <c r="B11" s="12">
        <v>46266</v>
      </c>
      <c r="C11" s="13">
        <v>35</v>
      </c>
      <c r="D11" s="13">
        <v>45</v>
      </c>
      <c r="E11" s="13">
        <v>46</v>
      </c>
      <c r="F11" s="13">
        <f t="shared" si="0"/>
        <v>126</v>
      </c>
      <c r="G11" s="21"/>
      <c r="H11" s="13">
        <v>8</v>
      </c>
      <c r="I11" s="13">
        <v>8</v>
      </c>
      <c r="J11" s="13">
        <v>7</v>
      </c>
      <c r="K11" s="13">
        <f t="shared" si="1"/>
        <v>23</v>
      </c>
      <c r="L11" s="19"/>
      <c r="M11" s="13">
        <v>17</v>
      </c>
      <c r="N11" s="13">
        <v>8</v>
      </c>
      <c r="O11" s="13">
        <v>6</v>
      </c>
      <c r="P11" s="13">
        <f t="shared" si="12"/>
        <v>31</v>
      </c>
      <c r="Q11" s="21"/>
      <c r="R11" s="13">
        <v>2</v>
      </c>
      <c r="S11" s="13">
        <v>1</v>
      </c>
      <c r="T11" s="13">
        <v>1</v>
      </c>
      <c r="U11" s="13">
        <f t="shared" si="2"/>
        <v>4</v>
      </c>
      <c r="V11" s="21"/>
      <c r="W11" s="13">
        <v>5</v>
      </c>
      <c r="X11" s="13">
        <v>6</v>
      </c>
      <c r="Y11" s="13">
        <v>4</v>
      </c>
      <c r="Z11" s="13">
        <f t="shared" si="3"/>
        <v>15</v>
      </c>
      <c r="AA11" s="21"/>
      <c r="AB11" s="13">
        <v>12</v>
      </c>
      <c r="AC11" s="13">
        <v>12</v>
      </c>
      <c r="AD11" s="13">
        <v>9</v>
      </c>
      <c r="AE11" s="13">
        <f t="shared" si="4"/>
        <v>33</v>
      </c>
      <c r="AF11" s="25"/>
      <c r="AG11" s="13">
        <v>0</v>
      </c>
      <c r="AH11" s="13">
        <v>0</v>
      </c>
      <c r="AI11" s="13">
        <v>3</v>
      </c>
      <c r="AJ11" s="13">
        <f t="shared" si="13"/>
        <v>3</v>
      </c>
      <c r="AK11" s="21"/>
      <c r="AL11" s="13">
        <v>0</v>
      </c>
      <c r="AM11" s="13">
        <v>0</v>
      </c>
      <c r="AN11" s="13">
        <v>1</v>
      </c>
      <c r="AO11" s="13">
        <f t="shared" si="5"/>
        <v>1</v>
      </c>
      <c r="AP11" s="21"/>
      <c r="AQ11" s="13">
        <v>5</v>
      </c>
      <c r="AR11" s="13">
        <v>3</v>
      </c>
      <c r="AS11" s="13">
        <v>0</v>
      </c>
      <c r="AT11" s="13">
        <f t="shared" si="14"/>
        <v>8</v>
      </c>
      <c r="AU11" s="21"/>
      <c r="AV11" s="13">
        <f t="shared" si="6"/>
        <v>41</v>
      </c>
      <c r="AW11" s="13">
        <f t="shared" si="7"/>
        <v>30</v>
      </c>
      <c r="AX11" s="13">
        <f t="shared" si="8"/>
        <v>21</v>
      </c>
      <c r="AY11" s="13">
        <f t="shared" si="15"/>
        <v>92</v>
      </c>
      <c r="AZ11" s="21"/>
      <c r="BA11" s="13">
        <f t="shared" si="9"/>
        <v>84</v>
      </c>
      <c r="BB11" s="13">
        <f t="shared" si="10"/>
        <v>84</v>
      </c>
      <c r="BC11" s="13">
        <f t="shared" si="11"/>
        <v>77</v>
      </c>
      <c r="BD11" s="13">
        <f t="shared" si="16"/>
        <v>245</v>
      </c>
    </row>
    <row r="12" spans="1:56" x14ac:dyDescent="0.25">
      <c r="A12" s="11">
        <v>31</v>
      </c>
      <c r="B12" s="12">
        <v>46296</v>
      </c>
      <c r="C12" s="13">
        <v>49</v>
      </c>
      <c r="D12" s="13">
        <v>43</v>
      </c>
      <c r="E12" s="13">
        <v>19</v>
      </c>
      <c r="F12" s="13">
        <f t="shared" si="0"/>
        <v>111</v>
      </c>
      <c r="G12" s="25"/>
      <c r="H12" s="13">
        <v>4</v>
      </c>
      <c r="I12" s="13">
        <v>10</v>
      </c>
      <c r="J12" s="13">
        <v>5</v>
      </c>
      <c r="K12" s="13">
        <f t="shared" si="1"/>
        <v>19</v>
      </c>
      <c r="L12" s="26"/>
      <c r="M12" s="13">
        <v>10</v>
      </c>
      <c r="N12" s="13">
        <v>8</v>
      </c>
      <c r="O12" s="13">
        <v>2</v>
      </c>
      <c r="P12" s="13">
        <f t="shared" si="12"/>
        <v>20</v>
      </c>
      <c r="Q12" s="25"/>
      <c r="R12" s="13">
        <v>2</v>
      </c>
      <c r="S12" s="13">
        <v>0</v>
      </c>
      <c r="T12" s="13">
        <v>2</v>
      </c>
      <c r="U12" s="13">
        <f t="shared" si="2"/>
        <v>4</v>
      </c>
      <c r="V12" s="25"/>
      <c r="W12" s="13">
        <v>4</v>
      </c>
      <c r="X12" s="13">
        <v>1</v>
      </c>
      <c r="Y12" s="13">
        <v>3</v>
      </c>
      <c r="Z12" s="13">
        <f t="shared" si="3"/>
        <v>8</v>
      </c>
      <c r="AA12" s="25"/>
      <c r="AB12" s="13">
        <v>15</v>
      </c>
      <c r="AC12" s="13">
        <v>8</v>
      </c>
      <c r="AD12" s="13">
        <v>8</v>
      </c>
      <c r="AE12" s="13">
        <f t="shared" si="4"/>
        <v>31</v>
      </c>
      <c r="AG12" s="13">
        <v>2</v>
      </c>
      <c r="AH12" s="13">
        <v>1</v>
      </c>
      <c r="AI12" s="13">
        <v>2</v>
      </c>
      <c r="AJ12" s="13">
        <f t="shared" si="13"/>
        <v>5</v>
      </c>
      <c r="AK12" s="25"/>
      <c r="AL12" s="13">
        <v>0</v>
      </c>
      <c r="AM12" s="13">
        <v>0</v>
      </c>
      <c r="AN12" s="13">
        <v>0</v>
      </c>
      <c r="AO12" s="13">
        <f t="shared" si="5"/>
        <v>0</v>
      </c>
      <c r="AP12" s="25"/>
      <c r="AQ12" s="13">
        <v>7</v>
      </c>
      <c r="AR12" s="13">
        <v>1</v>
      </c>
      <c r="AS12" s="13">
        <v>1</v>
      </c>
      <c r="AT12" s="13">
        <f t="shared" si="14"/>
        <v>9</v>
      </c>
      <c r="AU12" s="25"/>
      <c r="AV12" s="13">
        <f t="shared" si="6"/>
        <v>38</v>
      </c>
      <c r="AW12" s="13">
        <f t="shared" si="7"/>
        <v>18</v>
      </c>
      <c r="AX12" s="13">
        <f t="shared" si="8"/>
        <v>16</v>
      </c>
      <c r="AY12" s="13">
        <f t="shared" si="15"/>
        <v>72</v>
      </c>
      <c r="AZ12" s="25"/>
      <c r="BA12" s="13">
        <f t="shared" si="9"/>
        <v>94</v>
      </c>
      <c r="BB12" s="13">
        <f t="shared" si="10"/>
        <v>80</v>
      </c>
      <c r="BC12" s="13">
        <f t="shared" si="11"/>
        <v>56</v>
      </c>
      <c r="BD12" s="13">
        <f t="shared" si="16"/>
        <v>230</v>
      </c>
    </row>
    <row r="13" spans="1:56" x14ac:dyDescent="0.25">
      <c r="A13" s="11">
        <v>30</v>
      </c>
      <c r="B13" s="12">
        <v>46327</v>
      </c>
      <c r="C13" s="13">
        <v>1</v>
      </c>
      <c r="D13" s="13">
        <v>0</v>
      </c>
      <c r="E13" s="13">
        <v>0</v>
      </c>
      <c r="F13" s="13">
        <f t="shared" si="0"/>
        <v>1</v>
      </c>
      <c r="G13" s="25"/>
      <c r="H13" s="13">
        <v>2</v>
      </c>
      <c r="I13" s="13">
        <v>0</v>
      </c>
      <c r="J13" s="13">
        <v>0</v>
      </c>
      <c r="K13" s="13">
        <f t="shared" si="1"/>
        <v>2</v>
      </c>
      <c r="L13" s="26"/>
      <c r="M13" s="13">
        <v>4</v>
      </c>
      <c r="N13" s="13">
        <v>2</v>
      </c>
      <c r="O13" s="13">
        <v>0</v>
      </c>
      <c r="P13" s="13">
        <f t="shared" si="12"/>
        <v>6</v>
      </c>
      <c r="Q13" s="25"/>
      <c r="R13" s="13">
        <v>0</v>
      </c>
      <c r="S13" s="13">
        <v>0</v>
      </c>
      <c r="T13" s="13">
        <v>0</v>
      </c>
      <c r="U13" s="13">
        <f t="shared" si="2"/>
        <v>0</v>
      </c>
      <c r="V13" s="25"/>
      <c r="W13" s="13">
        <v>6</v>
      </c>
      <c r="X13" s="13">
        <v>1</v>
      </c>
      <c r="Y13" s="13">
        <v>0</v>
      </c>
      <c r="Z13" s="13">
        <f t="shared" si="3"/>
        <v>7</v>
      </c>
      <c r="AA13" s="25"/>
      <c r="AB13" s="13">
        <v>7</v>
      </c>
      <c r="AC13" s="13">
        <v>6</v>
      </c>
      <c r="AD13" s="13">
        <v>0</v>
      </c>
      <c r="AE13" s="13">
        <f t="shared" si="4"/>
        <v>13</v>
      </c>
      <c r="AF13" s="25"/>
      <c r="AG13" s="13">
        <v>0</v>
      </c>
      <c r="AH13" s="13">
        <v>1</v>
      </c>
      <c r="AI13" s="13">
        <v>0</v>
      </c>
      <c r="AJ13" s="13">
        <f t="shared" si="13"/>
        <v>1</v>
      </c>
      <c r="AK13" s="25"/>
      <c r="AL13" s="13">
        <v>0</v>
      </c>
      <c r="AM13" s="13">
        <v>0</v>
      </c>
      <c r="AN13" s="13">
        <v>0</v>
      </c>
      <c r="AO13" s="13">
        <f t="shared" si="5"/>
        <v>0</v>
      </c>
      <c r="AP13" s="25"/>
      <c r="AQ13" s="13">
        <v>0</v>
      </c>
      <c r="AR13" s="13">
        <v>0</v>
      </c>
      <c r="AS13" s="13">
        <v>0</v>
      </c>
      <c r="AT13" s="13">
        <f t="shared" si="14"/>
        <v>0</v>
      </c>
      <c r="AU13" s="25"/>
      <c r="AV13" s="13">
        <f t="shared" si="6"/>
        <v>18</v>
      </c>
      <c r="AW13" s="13">
        <f t="shared" si="7"/>
        <v>9</v>
      </c>
      <c r="AX13" s="13">
        <f t="shared" si="8"/>
        <v>1</v>
      </c>
      <c r="AY13" s="13">
        <f t="shared" si="15"/>
        <v>28</v>
      </c>
      <c r="AZ13" s="25"/>
      <c r="BA13" s="13">
        <f t="shared" si="9"/>
        <v>29</v>
      </c>
      <c r="BB13" s="13">
        <f t="shared" si="10"/>
        <v>12</v>
      </c>
      <c r="BC13" s="13">
        <f t="shared" si="11"/>
        <v>1</v>
      </c>
      <c r="BD13" s="13">
        <f t="shared" si="16"/>
        <v>42</v>
      </c>
    </row>
    <row r="14" spans="1:56" x14ac:dyDescent="0.25">
      <c r="A14" s="5">
        <v>31</v>
      </c>
      <c r="B14" s="6">
        <v>46357</v>
      </c>
      <c r="C14" s="7">
        <v>0</v>
      </c>
      <c r="D14" s="7">
        <v>0</v>
      </c>
      <c r="E14" s="7">
        <v>0</v>
      </c>
      <c r="F14" s="7">
        <f t="shared" si="0"/>
        <v>0</v>
      </c>
      <c r="G14" s="21"/>
      <c r="H14" s="7">
        <v>0</v>
      </c>
      <c r="I14" s="7">
        <f t="shared" ref="I14:J14" si="17">N14+AC14+S14+X14+AH14+AM14+AR14+AW14+AK31</f>
        <v>0</v>
      </c>
      <c r="J14" s="7">
        <f t="shared" si="17"/>
        <v>0</v>
      </c>
      <c r="K14" s="7">
        <f t="shared" si="1"/>
        <v>0</v>
      </c>
      <c r="L14" s="19"/>
      <c r="M14" s="7">
        <v>0</v>
      </c>
      <c r="N14" s="7">
        <v>0</v>
      </c>
      <c r="O14" s="7">
        <v>0</v>
      </c>
      <c r="P14" s="7">
        <f t="shared" si="12"/>
        <v>0</v>
      </c>
      <c r="Q14" s="21"/>
      <c r="R14" s="7">
        <v>0</v>
      </c>
      <c r="S14" s="7">
        <v>0</v>
      </c>
      <c r="T14" s="7">
        <v>0</v>
      </c>
      <c r="U14" s="7">
        <f t="shared" si="2"/>
        <v>0</v>
      </c>
      <c r="V14" s="21"/>
      <c r="W14" s="7">
        <v>0</v>
      </c>
      <c r="X14" s="7">
        <v>0</v>
      </c>
      <c r="Y14" s="7">
        <v>0</v>
      </c>
      <c r="Z14" s="7">
        <f t="shared" si="3"/>
        <v>0</v>
      </c>
      <c r="AA14" s="21"/>
      <c r="AB14" s="7">
        <v>0</v>
      </c>
      <c r="AC14" s="7">
        <v>0</v>
      </c>
      <c r="AD14" s="7">
        <v>0</v>
      </c>
      <c r="AE14" s="7">
        <f t="shared" si="4"/>
        <v>0</v>
      </c>
      <c r="AF14" s="21"/>
      <c r="AG14" s="7">
        <v>0</v>
      </c>
      <c r="AH14" s="7">
        <v>0</v>
      </c>
      <c r="AI14" s="7">
        <v>0</v>
      </c>
      <c r="AJ14" s="7">
        <f t="shared" si="13"/>
        <v>0</v>
      </c>
      <c r="AK14" s="21"/>
      <c r="AL14" s="7">
        <v>0</v>
      </c>
      <c r="AM14" s="7">
        <v>0</v>
      </c>
      <c r="AN14" s="7">
        <v>0</v>
      </c>
      <c r="AO14" s="7">
        <f t="shared" si="5"/>
        <v>0</v>
      </c>
      <c r="AP14" s="21"/>
      <c r="AQ14" s="7">
        <v>0</v>
      </c>
      <c r="AR14" s="7">
        <v>0</v>
      </c>
      <c r="AS14" s="7">
        <v>0</v>
      </c>
      <c r="AT14" s="7">
        <f t="shared" si="14"/>
        <v>0</v>
      </c>
      <c r="AU14" s="21"/>
      <c r="AV14" s="7">
        <f t="shared" si="6"/>
        <v>0</v>
      </c>
      <c r="AW14" s="7">
        <f t="shared" si="7"/>
        <v>0</v>
      </c>
      <c r="AX14" s="7">
        <f t="shared" si="8"/>
        <v>0</v>
      </c>
      <c r="AY14" s="7">
        <f t="shared" si="15"/>
        <v>0</v>
      </c>
      <c r="AZ14" s="21"/>
      <c r="BA14" s="7">
        <f t="shared" si="9"/>
        <v>0</v>
      </c>
      <c r="BB14" s="7">
        <f t="shared" si="10"/>
        <v>0</v>
      </c>
      <c r="BC14" s="7">
        <f t="shared" si="11"/>
        <v>0</v>
      </c>
      <c r="BD14" s="7">
        <f t="shared" si="16"/>
        <v>0</v>
      </c>
    </row>
    <row r="15" spans="1:56" x14ac:dyDescent="0.25">
      <c r="B15" s="8"/>
      <c r="C15" s="9">
        <f>AVERAGE(C3:C7)</f>
        <v>27.2</v>
      </c>
      <c r="D15" s="9">
        <f t="shared" ref="D15:AT15" si="18">AVERAGE(D3:D7)</f>
        <v>26.6</v>
      </c>
      <c r="E15" s="9">
        <f t="shared" si="18"/>
        <v>27.8</v>
      </c>
      <c r="F15" s="9">
        <f t="shared" si="18"/>
        <v>81.599999999999994</v>
      </c>
      <c r="G15" s="9"/>
      <c r="H15" s="9">
        <f>AVERAGE(H3:H7)</f>
        <v>3.4</v>
      </c>
      <c r="I15" s="9">
        <f>AVERAGE(I3:I7)</f>
        <v>9.1999999999999993</v>
      </c>
      <c r="J15" s="9">
        <f>AVERAGE(J3:J7)</f>
        <v>7</v>
      </c>
      <c r="K15" s="9">
        <f>AVERAGE(K3:K7)</f>
        <v>19.600000000000001</v>
      </c>
      <c r="L15" s="9"/>
      <c r="M15" s="9">
        <f t="shared" si="18"/>
        <v>9.6</v>
      </c>
      <c r="N15" s="9">
        <f t="shared" si="18"/>
        <v>10.199999999999999</v>
      </c>
      <c r="O15" s="9">
        <f t="shared" si="18"/>
        <v>9.1999999999999993</v>
      </c>
      <c r="P15" s="9">
        <f t="shared" si="18"/>
        <v>29</v>
      </c>
      <c r="Q15" s="9"/>
      <c r="R15" s="9">
        <f t="shared" si="18"/>
        <v>3.2</v>
      </c>
      <c r="S15" s="9">
        <v>1</v>
      </c>
      <c r="T15" s="9">
        <f t="shared" si="18"/>
        <v>3</v>
      </c>
      <c r="U15" s="9">
        <f t="shared" si="18"/>
        <v>9.8000000000000007</v>
      </c>
      <c r="V15" s="9"/>
      <c r="W15" s="9">
        <f>AVERAGE(W3:W7)</f>
        <v>7</v>
      </c>
      <c r="X15" s="9">
        <f>AVERAGE(X3:X7)</f>
        <v>11</v>
      </c>
      <c r="Y15" s="9">
        <f>AVERAGE(Y3:Y7)</f>
        <v>9.1999999999999993</v>
      </c>
      <c r="Z15" s="9">
        <f>AVERAGE(Z3:Z7)</f>
        <v>27.2</v>
      </c>
      <c r="AA15" s="9"/>
      <c r="AB15" s="9">
        <f t="shared" si="18"/>
        <v>9.4</v>
      </c>
      <c r="AC15" s="9">
        <f t="shared" si="18"/>
        <v>10.199999999999999</v>
      </c>
      <c r="AD15" s="9">
        <f t="shared" si="18"/>
        <v>9</v>
      </c>
      <c r="AE15" s="9">
        <f t="shared" si="18"/>
        <v>28.6</v>
      </c>
      <c r="AF15" s="9"/>
      <c r="AG15" s="9">
        <f t="shared" si="18"/>
        <v>1.4</v>
      </c>
      <c r="AH15" s="9">
        <f t="shared" si="18"/>
        <v>2</v>
      </c>
      <c r="AI15" s="9">
        <f>AVERAGE(AI3:AI11)</f>
        <v>2.3333333333333335</v>
      </c>
      <c r="AJ15" s="9">
        <f t="shared" si="18"/>
        <v>5.2</v>
      </c>
      <c r="AK15" s="9"/>
      <c r="AL15" s="9">
        <f t="shared" si="18"/>
        <v>0</v>
      </c>
      <c r="AM15" s="9">
        <f t="shared" si="18"/>
        <v>0</v>
      </c>
      <c r="AN15" s="9">
        <f t="shared" si="18"/>
        <v>0.2</v>
      </c>
      <c r="AO15" s="9">
        <f t="shared" si="18"/>
        <v>0.2</v>
      </c>
      <c r="AP15" s="9"/>
      <c r="AQ15" s="9">
        <f>AVERAGE(AQ3:AQ11)</f>
        <v>1.3333333333333333</v>
      </c>
      <c r="AR15" s="9">
        <f>AVERAGE(AR3:AR11)</f>
        <v>1.4444444444444444</v>
      </c>
      <c r="AS15" s="9">
        <f>AVERAGE(AS3:AS11)</f>
        <v>1.7777777777777777</v>
      </c>
      <c r="AT15" s="9">
        <f t="shared" si="18"/>
        <v>1</v>
      </c>
      <c r="AU15" s="9"/>
      <c r="AV15" s="9">
        <f>AVERAGE(AV3:AV7)</f>
        <v>29.4</v>
      </c>
      <c r="AW15" s="9">
        <f>AVERAGE(AW3:AW7)</f>
        <v>35.200000000000003</v>
      </c>
      <c r="AX15" s="9">
        <f>AVERAGE(AX3:AX7)</f>
        <v>31.2</v>
      </c>
      <c r="AY15" s="9">
        <f>AVERAGE(AY3:AY7)</f>
        <v>95.8</v>
      </c>
      <c r="AZ15" s="9"/>
      <c r="BA15" s="9">
        <f>AVERAGE(BA3:BA7)</f>
        <v>61.4</v>
      </c>
      <c r="BB15" s="9">
        <f>AVERAGE(BB3:BB7)</f>
        <v>73</v>
      </c>
      <c r="BC15" s="9">
        <f>AVERAGE(BC3:BC7)</f>
        <v>67.8</v>
      </c>
      <c r="BD15" s="9">
        <f>AVERAGE(BD3:BD7)</f>
        <v>202.2</v>
      </c>
    </row>
    <row r="18" spans="36:56" x14ac:dyDescent="0.25">
      <c r="AK18" s="27" t="s">
        <v>23</v>
      </c>
      <c r="AL18" s="28"/>
      <c r="AM18" s="28"/>
      <c r="AN18" s="28"/>
      <c r="AQ18" s="27" t="s">
        <v>19</v>
      </c>
      <c r="AR18" s="28"/>
      <c r="AS18" s="28"/>
      <c r="AT18" s="28"/>
      <c r="BA18" s="27" t="s">
        <v>24</v>
      </c>
      <c r="BB18" s="28"/>
      <c r="BC18" s="28"/>
      <c r="BD18" s="28"/>
    </row>
    <row r="19" spans="36:56" x14ac:dyDescent="0.25">
      <c r="AK19" t="s">
        <v>16</v>
      </c>
      <c r="AL19" t="s">
        <v>20</v>
      </c>
      <c r="AM19" t="s">
        <v>21</v>
      </c>
      <c r="AN19" t="s">
        <v>10</v>
      </c>
      <c r="AQ19" t="s">
        <v>16</v>
      </c>
      <c r="AR19" t="s">
        <v>20</v>
      </c>
      <c r="AS19" t="s">
        <v>21</v>
      </c>
      <c r="AT19" t="s">
        <v>10</v>
      </c>
      <c r="BA19" t="s">
        <v>16</v>
      </c>
      <c r="BB19" t="s">
        <v>20</v>
      </c>
      <c r="BC19" t="s">
        <v>21</v>
      </c>
      <c r="BD19" t="s">
        <v>10</v>
      </c>
    </row>
    <row r="20" spans="36:56" x14ac:dyDescent="0.25">
      <c r="AJ20" s="15">
        <v>46023</v>
      </c>
      <c r="AK20" s="14">
        <v>0</v>
      </c>
      <c r="AL20" s="14">
        <v>0</v>
      </c>
      <c r="AM20" s="14">
        <v>0</v>
      </c>
      <c r="AN20" s="14">
        <f t="shared" ref="AN20:AN31" si="19">AK20+AL20+AM20</f>
        <v>0</v>
      </c>
      <c r="AP20" s="15">
        <v>46023</v>
      </c>
      <c r="AQ20" s="14">
        <v>0</v>
      </c>
      <c r="AR20" s="14">
        <v>0</v>
      </c>
      <c r="AS20" s="14">
        <v>0</v>
      </c>
      <c r="AT20" s="14">
        <f t="shared" ref="AT20:AT31" si="20">AQ20+AR20+AS20</f>
        <v>0</v>
      </c>
      <c r="AZ20" s="15">
        <v>46023</v>
      </c>
      <c r="BA20" s="14">
        <f>C3+H3+AK20</f>
        <v>42</v>
      </c>
      <c r="BB20" s="14">
        <f t="shared" ref="BB20:BC20" si="21">D3+I3+AL20</f>
        <v>40</v>
      </c>
      <c r="BC20" s="14">
        <f t="shared" si="21"/>
        <v>48</v>
      </c>
      <c r="BD20" s="14">
        <f t="shared" ref="BD20:BD31" si="22">BA20+BB20+BC20</f>
        <v>130</v>
      </c>
    </row>
    <row r="21" spans="36:56" x14ac:dyDescent="0.25">
      <c r="AJ21" s="15">
        <v>46054</v>
      </c>
      <c r="AK21" s="14">
        <v>0</v>
      </c>
      <c r="AL21" s="14">
        <v>0</v>
      </c>
      <c r="AM21" s="14">
        <v>0</v>
      </c>
      <c r="AN21" s="14">
        <f t="shared" si="19"/>
        <v>0</v>
      </c>
      <c r="AP21" s="15">
        <v>46054</v>
      </c>
      <c r="AQ21" s="14">
        <v>0</v>
      </c>
      <c r="AR21" s="14">
        <v>0</v>
      </c>
      <c r="AS21" s="14">
        <v>0</v>
      </c>
      <c r="AT21" s="14">
        <f t="shared" si="20"/>
        <v>0</v>
      </c>
      <c r="AZ21" s="15">
        <v>46054</v>
      </c>
      <c r="BA21" s="14">
        <f t="shared" ref="BA21:BA31" si="23">C4+H4+AK21</f>
        <v>42</v>
      </c>
      <c r="BB21" s="14">
        <f t="shared" ref="BB21:BB31" si="24">D4+I4+AL21</f>
        <v>49</v>
      </c>
      <c r="BC21" s="14">
        <f t="shared" ref="BC21:BC31" si="25">E4+J4+AM21</f>
        <v>43</v>
      </c>
      <c r="BD21" s="14">
        <f t="shared" si="22"/>
        <v>134</v>
      </c>
    </row>
    <row r="22" spans="36:56" x14ac:dyDescent="0.25">
      <c r="AJ22" s="15">
        <v>46082</v>
      </c>
      <c r="AK22" s="14">
        <v>0</v>
      </c>
      <c r="AL22" s="14">
        <v>0</v>
      </c>
      <c r="AM22" s="14">
        <v>0</v>
      </c>
      <c r="AN22" s="14">
        <f t="shared" si="19"/>
        <v>0</v>
      </c>
      <c r="AP22" s="15">
        <v>46082</v>
      </c>
      <c r="AQ22" s="14">
        <v>0</v>
      </c>
      <c r="AR22" s="14">
        <v>0</v>
      </c>
      <c r="AS22" s="14">
        <v>0</v>
      </c>
      <c r="AT22" s="14">
        <f t="shared" si="20"/>
        <v>0</v>
      </c>
      <c r="AZ22" s="15">
        <v>46082</v>
      </c>
      <c r="BA22" s="14">
        <f t="shared" si="23"/>
        <v>23</v>
      </c>
      <c r="BB22" s="14">
        <f t="shared" si="24"/>
        <v>41</v>
      </c>
      <c r="BC22" s="14">
        <f t="shared" si="25"/>
        <v>26</v>
      </c>
      <c r="BD22" s="14">
        <f t="shared" si="22"/>
        <v>90</v>
      </c>
    </row>
    <row r="23" spans="36:56" x14ac:dyDescent="0.25">
      <c r="AJ23" s="15">
        <v>46113</v>
      </c>
      <c r="AK23" s="14">
        <v>0</v>
      </c>
      <c r="AL23" s="14">
        <v>0</v>
      </c>
      <c r="AM23" s="14">
        <v>0</v>
      </c>
      <c r="AN23" s="14">
        <f t="shared" si="19"/>
        <v>0</v>
      </c>
      <c r="AP23" s="15">
        <v>46113</v>
      </c>
      <c r="AQ23" s="14">
        <v>0</v>
      </c>
      <c r="AR23" s="14">
        <v>0</v>
      </c>
      <c r="AS23" s="14">
        <v>0</v>
      </c>
      <c r="AT23" s="14">
        <f t="shared" si="20"/>
        <v>0</v>
      </c>
      <c r="AZ23" s="15">
        <v>46113</v>
      </c>
      <c r="BA23" s="14">
        <f t="shared" si="23"/>
        <v>18</v>
      </c>
      <c r="BB23" s="14">
        <f t="shared" si="24"/>
        <v>24</v>
      </c>
      <c r="BC23" s="14">
        <f t="shared" si="25"/>
        <v>31</v>
      </c>
      <c r="BD23" s="14">
        <f t="shared" si="22"/>
        <v>73</v>
      </c>
    </row>
    <row r="24" spans="36:56" x14ac:dyDescent="0.25">
      <c r="AJ24" s="15">
        <v>46143</v>
      </c>
      <c r="AK24" s="14">
        <v>0</v>
      </c>
      <c r="AL24" s="14">
        <v>0</v>
      </c>
      <c r="AM24" s="14">
        <v>0</v>
      </c>
      <c r="AN24" s="14">
        <f t="shared" si="19"/>
        <v>0</v>
      </c>
      <c r="AP24" s="15">
        <v>46143</v>
      </c>
      <c r="AQ24" s="14">
        <v>0</v>
      </c>
      <c r="AR24" s="14">
        <v>0</v>
      </c>
      <c r="AS24" s="14">
        <v>0</v>
      </c>
      <c r="AT24" s="14">
        <f t="shared" si="20"/>
        <v>0</v>
      </c>
      <c r="AZ24" s="15">
        <v>46143</v>
      </c>
      <c r="BA24" s="14">
        <f>C7+H7+AK24</f>
        <v>28</v>
      </c>
      <c r="BB24" s="14">
        <f t="shared" si="24"/>
        <v>25</v>
      </c>
      <c r="BC24" s="14">
        <f t="shared" si="25"/>
        <v>26</v>
      </c>
      <c r="BD24" s="14">
        <f t="shared" si="22"/>
        <v>79</v>
      </c>
    </row>
    <row r="25" spans="36:56" x14ac:dyDescent="0.25">
      <c r="AJ25" s="15">
        <v>46174</v>
      </c>
      <c r="AK25" s="14">
        <v>0</v>
      </c>
      <c r="AL25" s="14">
        <v>0</v>
      </c>
      <c r="AM25" s="14">
        <v>0</v>
      </c>
      <c r="AN25" s="14">
        <f t="shared" si="19"/>
        <v>0</v>
      </c>
      <c r="AP25" s="15">
        <v>46174</v>
      </c>
      <c r="AQ25" s="14">
        <v>0</v>
      </c>
      <c r="AR25" s="14">
        <v>0</v>
      </c>
      <c r="AS25" s="14">
        <v>0</v>
      </c>
      <c r="AT25" s="14">
        <f t="shared" si="20"/>
        <v>0</v>
      </c>
      <c r="AZ25" s="15">
        <v>46174</v>
      </c>
      <c r="BA25" s="14">
        <f t="shared" si="23"/>
        <v>32</v>
      </c>
      <c r="BB25" s="14">
        <f t="shared" si="24"/>
        <v>39</v>
      </c>
      <c r="BC25" s="14">
        <f t="shared" si="25"/>
        <v>37</v>
      </c>
      <c r="BD25" s="14">
        <f t="shared" si="22"/>
        <v>108</v>
      </c>
    </row>
    <row r="26" spans="36:56" x14ac:dyDescent="0.25">
      <c r="AJ26" s="15">
        <v>46204</v>
      </c>
      <c r="AK26" s="14">
        <v>0</v>
      </c>
      <c r="AL26" s="14">
        <v>0</v>
      </c>
      <c r="AM26" s="14">
        <v>0</v>
      </c>
      <c r="AN26" s="14">
        <f t="shared" si="19"/>
        <v>0</v>
      </c>
      <c r="AP26" s="15">
        <v>46204</v>
      </c>
      <c r="AQ26" s="14">
        <v>0</v>
      </c>
      <c r="AR26" s="14">
        <v>0</v>
      </c>
      <c r="AS26" s="14">
        <v>0</v>
      </c>
      <c r="AT26" s="14">
        <f t="shared" si="20"/>
        <v>0</v>
      </c>
      <c r="AZ26" s="15">
        <v>46204</v>
      </c>
      <c r="BA26" s="14">
        <f t="shared" si="23"/>
        <v>56</v>
      </c>
      <c r="BB26" s="14">
        <f t="shared" si="24"/>
        <v>42</v>
      </c>
      <c r="BC26" s="14">
        <f t="shared" si="25"/>
        <v>33</v>
      </c>
      <c r="BD26" s="14">
        <f t="shared" si="22"/>
        <v>131</v>
      </c>
    </row>
    <row r="27" spans="36:56" x14ac:dyDescent="0.25">
      <c r="AJ27" s="15">
        <v>46235</v>
      </c>
      <c r="AK27" s="14">
        <v>0</v>
      </c>
      <c r="AL27" s="14">
        <v>0</v>
      </c>
      <c r="AM27" s="14">
        <v>0</v>
      </c>
      <c r="AN27" s="14">
        <f t="shared" si="19"/>
        <v>0</v>
      </c>
      <c r="AP27" s="15">
        <v>46235</v>
      </c>
      <c r="AQ27" s="14">
        <v>0</v>
      </c>
      <c r="AR27" s="14">
        <v>0</v>
      </c>
      <c r="AS27" s="14">
        <v>0</v>
      </c>
      <c r="AT27" s="14">
        <f t="shared" si="20"/>
        <v>0</v>
      </c>
      <c r="AZ27" s="15">
        <v>46235</v>
      </c>
      <c r="BA27" s="14">
        <f t="shared" si="23"/>
        <v>42</v>
      </c>
      <c r="BB27" s="14">
        <f t="shared" si="24"/>
        <v>45</v>
      </c>
      <c r="BC27" s="14">
        <f t="shared" si="25"/>
        <v>61</v>
      </c>
      <c r="BD27" s="14">
        <f t="shared" si="22"/>
        <v>148</v>
      </c>
    </row>
    <row r="28" spans="36:56" x14ac:dyDescent="0.25">
      <c r="AJ28" s="15">
        <v>46266</v>
      </c>
      <c r="AK28" s="14">
        <v>0</v>
      </c>
      <c r="AL28" s="14">
        <v>1</v>
      </c>
      <c r="AM28" s="14">
        <v>0</v>
      </c>
      <c r="AN28" s="14">
        <f t="shared" si="19"/>
        <v>1</v>
      </c>
      <c r="AP28" s="15">
        <v>46266</v>
      </c>
      <c r="AQ28" s="14">
        <v>0</v>
      </c>
      <c r="AR28" s="14">
        <v>0</v>
      </c>
      <c r="AS28" s="14">
        <v>0</v>
      </c>
      <c r="AT28" s="14">
        <f t="shared" si="20"/>
        <v>0</v>
      </c>
      <c r="AZ28" s="15">
        <v>46266</v>
      </c>
      <c r="BA28" s="14">
        <f t="shared" si="23"/>
        <v>43</v>
      </c>
      <c r="BB28" s="14">
        <f t="shared" si="24"/>
        <v>54</v>
      </c>
      <c r="BC28" s="14">
        <f t="shared" si="25"/>
        <v>53</v>
      </c>
      <c r="BD28" s="14">
        <f t="shared" si="22"/>
        <v>150</v>
      </c>
    </row>
    <row r="29" spans="36:56" x14ac:dyDescent="0.25">
      <c r="AJ29" s="15">
        <v>46296</v>
      </c>
      <c r="AK29" s="14">
        <v>1</v>
      </c>
      <c r="AL29" s="14">
        <v>8</v>
      </c>
      <c r="AM29" s="14">
        <v>14</v>
      </c>
      <c r="AN29" s="14">
        <f t="shared" si="19"/>
        <v>23</v>
      </c>
      <c r="AP29" s="15">
        <v>46296</v>
      </c>
      <c r="AQ29" s="14">
        <v>0</v>
      </c>
      <c r="AR29" s="14">
        <v>0</v>
      </c>
      <c r="AS29" s="14">
        <v>0</v>
      </c>
      <c r="AT29" s="14">
        <f t="shared" si="20"/>
        <v>0</v>
      </c>
      <c r="AZ29" s="15">
        <v>46296</v>
      </c>
      <c r="BA29" s="14">
        <f t="shared" si="23"/>
        <v>54</v>
      </c>
      <c r="BB29" s="14">
        <f t="shared" si="24"/>
        <v>61</v>
      </c>
      <c r="BC29" s="14">
        <f t="shared" si="25"/>
        <v>38</v>
      </c>
      <c r="BD29" s="14">
        <f t="shared" si="22"/>
        <v>153</v>
      </c>
    </row>
    <row r="30" spans="36:56" x14ac:dyDescent="0.25">
      <c r="AJ30" s="15">
        <v>46327</v>
      </c>
      <c r="AK30" s="14">
        <v>8</v>
      </c>
      <c r="AL30" s="14">
        <v>2</v>
      </c>
      <c r="AM30" s="14">
        <v>0</v>
      </c>
      <c r="AN30" s="14">
        <f t="shared" si="19"/>
        <v>10</v>
      </c>
      <c r="AP30" s="15">
        <v>46327</v>
      </c>
      <c r="AQ30" s="14">
        <v>1</v>
      </c>
      <c r="AR30" s="14">
        <v>0</v>
      </c>
      <c r="AS30" s="14">
        <v>1</v>
      </c>
      <c r="AT30" s="14">
        <f t="shared" si="20"/>
        <v>2</v>
      </c>
      <c r="AZ30" s="15">
        <v>46327</v>
      </c>
      <c r="BA30" s="14">
        <f t="shared" si="23"/>
        <v>11</v>
      </c>
      <c r="BB30" s="14">
        <f t="shared" si="24"/>
        <v>2</v>
      </c>
      <c r="BC30" s="14">
        <f t="shared" si="25"/>
        <v>0</v>
      </c>
      <c r="BD30" s="14">
        <f t="shared" si="22"/>
        <v>13</v>
      </c>
    </row>
    <row r="31" spans="36:56" x14ac:dyDescent="0.25">
      <c r="AJ31" s="15">
        <v>46357</v>
      </c>
      <c r="AK31" s="14">
        <v>0</v>
      </c>
      <c r="AL31" s="14">
        <v>0</v>
      </c>
      <c r="AM31" s="14">
        <v>0</v>
      </c>
      <c r="AN31" s="14">
        <f t="shared" si="19"/>
        <v>0</v>
      </c>
      <c r="AP31" s="15">
        <v>46357</v>
      </c>
      <c r="AQ31" s="14">
        <v>0</v>
      </c>
      <c r="AR31" s="14">
        <v>0</v>
      </c>
      <c r="AS31" s="14">
        <v>0</v>
      </c>
      <c r="AT31" s="14">
        <f t="shared" si="20"/>
        <v>0</v>
      </c>
      <c r="AZ31" s="15">
        <v>46357</v>
      </c>
      <c r="BA31" s="14">
        <f t="shared" si="23"/>
        <v>0</v>
      </c>
      <c r="BB31" s="14">
        <f t="shared" si="24"/>
        <v>0</v>
      </c>
      <c r="BC31" s="14">
        <f t="shared" si="25"/>
        <v>0</v>
      </c>
      <c r="BD31" s="14">
        <f t="shared" si="22"/>
        <v>0</v>
      </c>
    </row>
  </sheetData>
  <mergeCells count="15">
    <mergeCell ref="A1:B1"/>
    <mergeCell ref="C1:F1"/>
    <mergeCell ref="M1:P1"/>
    <mergeCell ref="R1:U1"/>
    <mergeCell ref="W1:Z1"/>
    <mergeCell ref="H1:K1"/>
    <mergeCell ref="AK18:AN18"/>
    <mergeCell ref="BA18:BD18"/>
    <mergeCell ref="BA1:BD1"/>
    <mergeCell ref="AQ18:AT18"/>
    <mergeCell ref="AB1:AE1"/>
    <mergeCell ref="AG1:AJ1"/>
    <mergeCell ref="AL1:AO1"/>
    <mergeCell ref="AQ1:AT1"/>
    <mergeCell ref="AV1:AY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55D2-DD50-411C-8BAC-1F046E41BD33}">
  <dimension ref="A1"/>
  <sheetViews>
    <sheetView workbookViewId="0"/>
  </sheetViews>
  <sheetFormatPr defaultRowHeight="15" x14ac:dyDescent="0.25"/>
  <cols>
    <col min="1" max="1" width="184.7109375" customWidth="1"/>
  </cols>
  <sheetData>
    <row r="1" spans="1:1" ht="405" x14ac:dyDescent="0.25">
      <c r="A1" s="1" t="s">
        <v>0</v>
      </c>
    </row>
  </sheetData>
  <sheetProtection algorithmName="SHA-512" hashValue="SzGL/xMS9vqJ+4oIHH2GqpXsXcveE4jFwH0ftr8tlH5YKEnqYTZjIG4h4QYT66/Mhk730KeP4ejhTm++AaW/BQ==" saltValue="9rkOukxt5RvndZDpihjbG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2022</vt:lpstr>
      <vt:lpstr>2023</vt:lpstr>
      <vt:lpstr>2024</vt:lpstr>
      <vt:lpstr>2025</vt:lpstr>
      <vt:lpstr>2026</vt:lpstr>
      <vt:lpstr>D I S C L A I M E 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Wang</dc:creator>
  <cp:lastModifiedBy>Jake Brynteson</cp:lastModifiedBy>
  <dcterms:created xsi:type="dcterms:W3CDTF">2022-10-13T09:22:27Z</dcterms:created>
  <dcterms:modified xsi:type="dcterms:W3CDTF">2026-10-21T08:01:37Z</dcterms:modified>
</cp:coreProperties>
</file>